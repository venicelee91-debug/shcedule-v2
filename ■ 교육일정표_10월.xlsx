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MSUNG\Desktop\이재윤\현대해상\★경기AM지점\교육일정\"/>
    </mc:Choice>
  </mc:AlternateContent>
  <xr:revisionPtr revIDLastSave="0" documentId="13_ncr:1_{95C08135-C7E5-4B32-9EFF-5E075646B050}" xr6:coauthVersionLast="47" xr6:coauthVersionMax="47" xr10:uidLastSave="{00000000-0000-0000-0000-000000000000}"/>
  <bookViews>
    <workbookView xWindow="-120" yWindow="-120" windowWidth="29040" windowHeight="15720" tabRatio="894" firstSheet="10" activeTab="12" xr2:uid="{00000000-000D-0000-FFFF-FFFF00000000}"/>
  </bookViews>
  <sheets>
    <sheet name="25.12월" sheetId="1" r:id="rId1"/>
    <sheet name="26.01월" sheetId="3" r:id="rId2"/>
    <sheet name="26.02월" sheetId="4" r:id="rId3"/>
    <sheet name="26.03월" sheetId="5" r:id="rId4"/>
    <sheet name="26.04월" sheetId="6" r:id="rId5"/>
    <sheet name="26.05월 " sheetId="8" r:id="rId6"/>
    <sheet name="5월(원안)" sheetId="15" r:id="rId7"/>
    <sheet name="26.06월" sheetId="9" r:id="rId8"/>
    <sheet name="26.07월" sheetId="11" r:id="rId9"/>
    <sheet name="26.08월" sheetId="13" r:id="rId10"/>
    <sheet name="26.09월" sheetId="14" r:id="rId11"/>
    <sheet name="26.10월" sheetId="16" r:id="rId12"/>
    <sheet name="26.11월" sheetId="17" r:id="rId13"/>
    <sheet name="26.12월" sheetId="18" r:id="rId14"/>
    <sheet name="지역별 주요대리점" sheetId="10" r:id="rId15"/>
    <sheet name="지도" sheetId="12" r:id="rId16"/>
  </sheets>
  <definedNames>
    <definedName name="_xlnm._FilterDatabase" localSheetId="9" hidden="1">'26.08월'!$Y$4:$Z$92</definedName>
    <definedName name="_xlnm.Print_Area" localSheetId="4">'26.04월'!$A$1:$V$47</definedName>
    <definedName name="_xlnm.Print_Area" localSheetId="7">'26.06월'!$A$1:$W$43</definedName>
    <definedName name="_xlnm.Print_Area" localSheetId="9">'26.08월'!$A$1:$W$38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" i="17" l="1"/>
  <c r="X11" i="17"/>
  <c r="X12" i="17"/>
  <c r="X13" i="17" s="1"/>
  <c r="S13" i="17"/>
  <c r="AF109" i="18"/>
  <c r="AG109" i="18" s="1"/>
  <c r="AF108" i="18"/>
  <c r="AG108" i="18" s="1"/>
  <c r="AF107" i="18"/>
  <c r="AG107" i="18" s="1"/>
  <c r="AF106" i="18"/>
  <c r="AG106" i="18" s="1"/>
  <c r="AF105" i="18"/>
  <c r="AG105" i="18" s="1"/>
  <c r="AF104" i="18"/>
  <c r="AG104" i="18" s="1"/>
  <c r="AF103" i="18"/>
  <c r="AG103" i="18" s="1"/>
  <c r="AF102" i="18"/>
  <c r="AG102" i="18" s="1"/>
  <c r="AD102" i="18" s="1"/>
  <c r="AF101" i="18"/>
  <c r="AG101" i="18" s="1"/>
  <c r="AF100" i="18"/>
  <c r="AG100" i="18" s="1"/>
  <c r="AF99" i="18"/>
  <c r="AG99" i="18" s="1"/>
  <c r="AF98" i="18"/>
  <c r="AG98" i="18" s="1"/>
  <c r="AF97" i="18"/>
  <c r="AG97" i="18" s="1"/>
  <c r="AF96" i="18"/>
  <c r="AG96" i="18" s="1"/>
  <c r="AF95" i="18"/>
  <c r="AG95" i="18" s="1"/>
  <c r="AF94" i="18"/>
  <c r="AG94" i="18" s="1"/>
  <c r="AF93" i="18"/>
  <c r="AG93" i="18" s="1"/>
  <c r="AF92" i="18"/>
  <c r="AG92" i="18" s="1"/>
  <c r="AF91" i="18"/>
  <c r="AG91" i="18" s="1"/>
  <c r="AF90" i="18"/>
  <c r="AG90" i="18" s="1"/>
  <c r="AF89" i="18"/>
  <c r="AG89" i="18" s="1"/>
  <c r="AF88" i="18"/>
  <c r="AG88" i="18" s="1"/>
  <c r="AF87" i="18"/>
  <c r="AG87" i="18" s="1"/>
  <c r="AF86" i="18"/>
  <c r="AG86" i="18" s="1"/>
  <c r="AF85" i="18"/>
  <c r="AG85" i="18" s="1"/>
  <c r="AF84" i="18"/>
  <c r="AG84" i="18" s="1"/>
  <c r="AF83" i="18"/>
  <c r="AG83" i="18" s="1"/>
  <c r="AF82" i="18"/>
  <c r="AG82" i="18" s="1"/>
  <c r="AF81" i="18"/>
  <c r="AG81" i="18" s="1"/>
  <c r="AF80" i="18"/>
  <c r="AG80" i="18" s="1"/>
  <c r="AF79" i="18"/>
  <c r="AG79" i="18" s="1"/>
  <c r="AF78" i="18"/>
  <c r="AG78" i="18" s="1"/>
  <c r="AF77" i="18"/>
  <c r="AG77" i="18" s="1"/>
  <c r="AF76" i="18"/>
  <c r="AG76" i="18" s="1"/>
  <c r="AF75" i="18"/>
  <c r="AG75" i="18" s="1"/>
  <c r="AF74" i="18"/>
  <c r="AG74" i="18" s="1"/>
  <c r="AF73" i="18"/>
  <c r="AG73" i="18" s="1"/>
  <c r="AF72" i="18"/>
  <c r="AG72" i="18" s="1"/>
  <c r="AF71" i="18"/>
  <c r="AG71" i="18" s="1"/>
  <c r="AF70" i="18"/>
  <c r="AG70" i="18" s="1"/>
  <c r="AF69" i="18"/>
  <c r="AG69" i="18" s="1"/>
  <c r="AF68" i="18"/>
  <c r="AG68" i="18" s="1"/>
  <c r="AF67" i="18"/>
  <c r="AG67" i="18" s="1"/>
  <c r="AF66" i="18"/>
  <c r="AG66" i="18" s="1"/>
  <c r="AF65" i="18"/>
  <c r="AG65" i="18" s="1"/>
  <c r="AF64" i="18"/>
  <c r="AG64" i="18" s="1"/>
  <c r="AF63" i="18"/>
  <c r="AG63" i="18" s="1"/>
  <c r="AF62" i="18"/>
  <c r="AG62" i="18" s="1"/>
  <c r="AF61" i="18"/>
  <c r="AG61" i="18" s="1"/>
  <c r="AF60" i="18"/>
  <c r="AG60" i="18" s="1"/>
  <c r="AF59" i="18"/>
  <c r="AG59" i="18" s="1"/>
  <c r="AF58" i="18"/>
  <c r="AG58" i="18" s="1"/>
  <c r="AF57" i="18"/>
  <c r="AG57" i="18" s="1"/>
  <c r="AF56" i="18"/>
  <c r="AG56" i="18" s="1"/>
  <c r="AF55" i="18"/>
  <c r="AG55" i="18" s="1"/>
  <c r="AF54" i="18"/>
  <c r="AG54" i="18" s="1"/>
  <c r="AF53" i="18"/>
  <c r="AG53" i="18" s="1"/>
  <c r="AF52" i="18"/>
  <c r="AG52" i="18" s="1"/>
  <c r="AF51" i="18"/>
  <c r="AG51" i="18" s="1"/>
  <c r="AF50" i="18"/>
  <c r="AG50" i="18" s="1"/>
  <c r="AF49" i="18"/>
  <c r="AG49" i="18" s="1"/>
  <c r="AF48" i="18"/>
  <c r="AG48" i="18" s="1"/>
  <c r="AF47" i="18"/>
  <c r="AG47" i="18" s="1"/>
  <c r="AF46" i="18"/>
  <c r="AG46" i="18" s="1"/>
  <c r="AF45" i="18"/>
  <c r="AG45" i="18" s="1"/>
  <c r="AF44" i="18"/>
  <c r="AG44" i="18" s="1"/>
  <c r="AF43" i="18"/>
  <c r="AG43" i="18" s="1"/>
  <c r="AF42" i="18"/>
  <c r="AG42" i="18" s="1"/>
  <c r="AF41" i="18"/>
  <c r="AG41" i="18" s="1"/>
  <c r="AF40" i="18"/>
  <c r="AG40" i="18" s="1"/>
  <c r="AF39" i="18"/>
  <c r="AG39" i="18" s="1"/>
  <c r="AF38" i="18"/>
  <c r="AG38" i="18" s="1"/>
  <c r="AF37" i="18"/>
  <c r="AG37" i="18" s="1"/>
  <c r="AF36" i="18"/>
  <c r="AG36" i="18" s="1"/>
  <c r="AF35" i="18"/>
  <c r="AG35" i="18" s="1"/>
  <c r="AF34" i="18"/>
  <c r="AG34" i="18" s="1"/>
  <c r="AF33" i="18"/>
  <c r="AG33" i="18" s="1"/>
  <c r="AF32" i="18"/>
  <c r="AG32" i="18" s="1"/>
  <c r="AF31" i="18"/>
  <c r="AG31" i="18" s="1"/>
  <c r="AF30" i="18"/>
  <c r="AG30" i="18" s="1"/>
  <c r="AF29" i="18"/>
  <c r="AG29" i="18" s="1"/>
  <c r="AF28" i="18"/>
  <c r="AG28" i="18" s="1"/>
  <c r="AF27" i="18"/>
  <c r="AG27" i="18" s="1"/>
  <c r="AF26" i="18"/>
  <c r="AG26" i="18" s="1"/>
  <c r="AF25" i="18"/>
  <c r="AG25" i="18" s="1"/>
  <c r="AF24" i="18"/>
  <c r="AG24" i="18" s="1"/>
  <c r="AF23" i="18"/>
  <c r="AG23" i="18" s="1"/>
  <c r="AF22" i="18"/>
  <c r="AG22" i="18" s="1"/>
  <c r="AF21" i="18"/>
  <c r="AG21" i="18" s="1"/>
  <c r="AF20" i="18"/>
  <c r="AG20" i="18" s="1"/>
  <c r="AD20" i="18" s="1"/>
  <c r="AF19" i="18"/>
  <c r="AG19" i="18" s="1"/>
  <c r="AF18" i="18"/>
  <c r="AG18" i="18" s="1"/>
  <c r="AF17" i="18"/>
  <c r="AG17" i="18" s="1"/>
  <c r="AD17" i="18" s="1"/>
  <c r="AF16" i="18"/>
  <c r="AG16" i="18" s="1"/>
  <c r="AF15" i="18"/>
  <c r="AG15" i="18" s="1"/>
  <c r="AF14" i="18"/>
  <c r="AG14" i="18" s="1"/>
  <c r="AF13" i="18"/>
  <c r="AG13" i="18" s="1"/>
  <c r="AF12" i="18"/>
  <c r="AG12" i="18" s="1"/>
  <c r="AF11" i="18"/>
  <c r="AG11" i="18" s="1"/>
  <c r="AF10" i="18"/>
  <c r="AG10" i="18" s="1"/>
  <c r="AF9" i="18"/>
  <c r="AG9" i="18" s="1"/>
  <c r="X9" i="18"/>
  <c r="X10" i="18" s="1"/>
  <c r="AF8" i="18"/>
  <c r="AG8" i="18" s="1"/>
  <c r="AF7" i="18"/>
  <c r="AG7" i="18" s="1"/>
  <c r="AF6" i="18"/>
  <c r="AG6" i="18" s="1"/>
  <c r="AF5" i="18"/>
  <c r="AG5" i="18" s="1"/>
  <c r="AF4" i="18"/>
  <c r="X14" i="17" l="1"/>
  <c r="X11" i="18"/>
  <c r="AG4" i="18"/>
  <c r="AD31" i="18" s="1"/>
  <c r="AF1" i="18"/>
  <c r="AD19" i="18"/>
  <c r="X15" i="17" l="1"/>
  <c r="AD109" i="18"/>
  <c r="AD53" i="18"/>
  <c r="AD93" i="18"/>
  <c r="AD49" i="18"/>
  <c r="AD13" i="18"/>
  <c r="AD88" i="18"/>
  <c r="AD108" i="18"/>
  <c r="AD103" i="18"/>
  <c r="AD105" i="18"/>
  <c r="AD7" i="18"/>
  <c r="AD87" i="18"/>
  <c r="AD30" i="18"/>
  <c r="AD62" i="18"/>
  <c r="AD37" i="18"/>
  <c r="AD25" i="18"/>
  <c r="AD42" i="18"/>
  <c r="AD52" i="18"/>
  <c r="AD96" i="18"/>
  <c r="AD86" i="18"/>
  <c r="AD45" i="18"/>
  <c r="AD79" i="18"/>
  <c r="AD76" i="18"/>
  <c r="AD97" i="18"/>
  <c r="AD12" i="18"/>
  <c r="AD104" i="18"/>
  <c r="AD43" i="18"/>
  <c r="AD8" i="18"/>
  <c r="AD57" i="18"/>
  <c r="AD75" i="18"/>
  <c r="AD48" i="18"/>
  <c r="AD55" i="18"/>
  <c r="AD81" i="18"/>
  <c r="AD44" i="18"/>
  <c r="AD64" i="18"/>
  <c r="AD29" i="18"/>
  <c r="AD9" i="18"/>
  <c r="AD61" i="18"/>
  <c r="AD32" i="18"/>
  <c r="AD100" i="18"/>
  <c r="AD18" i="18"/>
  <c r="AD95" i="18"/>
  <c r="AD56" i="18"/>
  <c r="AD5" i="18"/>
  <c r="AD98" i="18"/>
  <c r="AD91" i="18"/>
  <c r="AD80" i="18"/>
  <c r="AD92" i="18"/>
  <c r="AD38" i="18"/>
  <c r="AD36" i="18"/>
  <c r="AD59" i="18"/>
  <c r="AD84" i="18"/>
  <c r="AD60" i="18"/>
  <c r="AD74" i="18"/>
  <c r="AD69" i="18"/>
  <c r="AD73" i="18"/>
  <c r="AD50" i="18"/>
  <c r="AD68" i="18"/>
  <c r="AD99" i="18"/>
  <c r="AD67" i="18"/>
  <c r="AD85" i="18"/>
  <c r="AD72" i="18"/>
  <c r="AD41" i="18"/>
  <c r="X12" i="18"/>
  <c r="AD26" i="18"/>
  <c r="AD33" i="18"/>
  <c r="AD4" i="18"/>
  <c r="AD22" i="18"/>
  <c r="AD15" i="18"/>
  <c r="AD89" i="18"/>
  <c r="AD82" i="18"/>
  <c r="AD51" i="18"/>
  <c r="AD54" i="18"/>
  <c r="AD23" i="18"/>
  <c r="AD11" i="18"/>
  <c r="AD70" i="18"/>
  <c r="AD63" i="18"/>
  <c r="AD66" i="18"/>
  <c r="AD46" i="18"/>
  <c r="AD34" i="18"/>
  <c r="AD10" i="18"/>
  <c r="AD90" i="18"/>
  <c r="AD40" i="18"/>
  <c r="AD28" i="18"/>
  <c r="AD16" i="18"/>
  <c r="AD83" i="18"/>
  <c r="AD58" i="18"/>
  <c r="AD6" i="18"/>
  <c r="AD101" i="18"/>
  <c r="AD94" i="18"/>
  <c r="AD65" i="18"/>
  <c r="AD39" i="18"/>
  <c r="AD27" i="18"/>
  <c r="AD71" i="18"/>
  <c r="AD47" i="18"/>
  <c r="AD35" i="18"/>
  <c r="AD77" i="18"/>
  <c r="AD107" i="18"/>
  <c r="AD78" i="18"/>
  <c r="AD106" i="18"/>
  <c r="AD14" i="18"/>
  <c r="AD24" i="18"/>
  <c r="AD21" i="18"/>
  <c r="X16" i="17" l="1"/>
  <c r="Y11" i="18"/>
  <c r="X13" i="18"/>
  <c r="Y12" i="18"/>
  <c r="Y8" i="18"/>
  <c r="Y4" i="18"/>
  <c r="Y7" i="18"/>
  <c r="Y5" i="18"/>
  <c r="Y6" i="18"/>
  <c r="Y10" i="18"/>
  <c r="Y9" i="18"/>
  <c r="X17" i="17" l="1"/>
  <c r="Y13" i="18"/>
  <c r="X14" i="18"/>
  <c r="X18" i="17" l="1"/>
  <c r="Y14" i="18"/>
  <c r="X15" i="18"/>
  <c r="X19" i="17" l="1"/>
  <c r="Y15" i="18"/>
  <c r="X16" i="18"/>
  <c r="X20" i="17" l="1"/>
  <c r="X17" i="18"/>
  <c r="Y16" i="18"/>
  <c r="X21" i="17" l="1"/>
  <c r="X18" i="18"/>
  <c r="Y17" i="18"/>
  <c r="X22" i="17" l="1"/>
  <c r="X19" i="18"/>
  <c r="Y18" i="18"/>
  <c r="X23" i="17" l="1"/>
  <c r="X20" i="18"/>
  <c r="Y19" i="18"/>
  <c r="X9" i="17"/>
  <c r="X24" i="17" l="1"/>
  <c r="X21" i="18"/>
  <c r="Y20" i="18"/>
  <c r="X25" i="17" l="1"/>
  <c r="X22" i="18"/>
  <c r="Y21" i="18"/>
  <c r="X26" i="17" l="1"/>
  <c r="X23" i="18"/>
  <c r="Y22" i="18"/>
  <c r="X27" i="17" l="1"/>
  <c r="X24" i="18"/>
  <c r="Y23" i="18"/>
  <c r="X28" i="17" l="1"/>
  <c r="Y24" i="18"/>
  <c r="X25" i="18"/>
  <c r="X29" i="17" l="1"/>
  <c r="Y25" i="18"/>
  <c r="X26" i="18"/>
  <c r="X30" i="17" l="1"/>
  <c r="Y26" i="18"/>
  <c r="X27" i="18"/>
  <c r="X31" i="17" l="1"/>
  <c r="X28" i="18"/>
  <c r="Y27" i="18"/>
  <c r="X32" i="17" l="1"/>
  <c r="X29" i="18"/>
  <c r="Y28" i="18"/>
  <c r="X33" i="17" l="1"/>
  <c r="X30" i="18"/>
  <c r="Y29" i="18"/>
  <c r="X34" i="17" l="1"/>
  <c r="X31" i="18"/>
  <c r="Y30" i="18"/>
  <c r="X35" i="17" l="1"/>
  <c r="X32" i="18"/>
  <c r="Y31" i="18"/>
  <c r="X36" i="17" l="1"/>
  <c r="X33" i="18"/>
  <c r="Y32" i="18"/>
  <c r="X37" i="17" l="1"/>
  <c r="X34" i="18"/>
  <c r="Y33" i="18"/>
  <c r="X38" i="17" l="1"/>
  <c r="X35" i="18"/>
  <c r="Y34" i="18"/>
  <c r="X39" i="17" l="1"/>
  <c r="X36" i="18"/>
  <c r="Y35" i="18"/>
  <c r="X40" i="17" l="1"/>
  <c r="Y36" i="18"/>
  <c r="X37" i="18"/>
  <c r="X41" i="17" l="1"/>
  <c r="Y37" i="18"/>
  <c r="X38" i="18"/>
  <c r="X42" i="17" l="1"/>
  <c r="Y38" i="18"/>
  <c r="X39" i="18"/>
  <c r="X43" i="17" l="1"/>
  <c r="Y39" i="18"/>
  <c r="X40" i="18"/>
  <c r="X44" i="17" l="1"/>
  <c r="X41" i="18"/>
  <c r="Y40" i="18"/>
  <c r="X45" i="17" l="1"/>
  <c r="X42" i="18"/>
  <c r="Y41" i="18"/>
  <c r="X46" i="17" l="1"/>
  <c r="X43" i="18"/>
  <c r="Y42" i="18"/>
  <c r="X47" i="17" l="1"/>
  <c r="X44" i="18"/>
  <c r="Y43" i="18"/>
  <c r="X48" i="17" l="1"/>
  <c r="X45" i="18"/>
  <c r="Y44" i="18"/>
  <c r="X49" i="17" l="1"/>
  <c r="X46" i="18"/>
  <c r="Y45" i="18"/>
  <c r="X50" i="17" l="1"/>
  <c r="X47" i="18"/>
  <c r="Y46" i="18"/>
  <c r="X51" i="17" l="1"/>
  <c r="X48" i="18"/>
  <c r="Y47" i="18"/>
  <c r="X52" i="17" l="1"/>
  <c r="Y48" i="18"/>
  <c r="X49" i="18"/>
  <c r="X53" i="17" l="1"/>
  <c r="X50" i="18"/>
  <c r="Y49" i="18"/>
  <c r="X54" i="17" l="1"/>
  <c r="Y50" i="18"/>
  <c r="X51" i="18"/>
  <c r="X55" i="17" l="1"/>
  <c r="Y51" i="18"/>
  <c r="X52" i="18"/>
  <c r="X56" i="17" l="1"/>
  <c r="X53" i="18"/>
  <c r="Y52" i="18"/>
  <c r="X57" i="17" l="1"/>
  <c r="X54" i="18"/>
  <c r="Y53" i="18"/>
  <c r="X55" i="18" l="1"/>
  <c r="Y54" i="18"/>
  <c r="X56" i="18" l="1"/>
  <c r="Y55" i="18"/>
  <c r="Y56" i="18" l="1"/>
  <c r="X57" i="18"/>
  <c r="Y57" i="18" l="1"/>
  <c r="X58" i="18"/>
  <c r="X59" i="18" l="1"/>
  <c r="Y58" i="18"/>
  <c r="X60" i="18" l="1"/>
  <c r="Y59" i="18"/>
  <c r="X61" i="18" l="1"/>
  <c r="Y60" i="18"/>
  <c r="X62" i="18" l="1"/>
  <c r="Y61" i="18"/>
  <c r="Y62" i="18" l="1"/>
  <c r="X63" i="18"/>
  <c r="Y63" i="18" l="1"/>
  <c r="X64" i="18"/>
  <c r="Y64" i="18" l="1"/>
  <c r="X65" i="18"/>
  <c r="X66" i="18" l="1"/>
  <c r="Y65" i="18"/>
  <c r="X58" i="17"/>
  <c r="X67" i="18" l="1"/>
  <c r="Y66" i="18"/>
  <c r="X59" i="17"/>
  <c r="Y67" i="18" l="1"/>
  <c r="X68" i="18"/>
  <c r="X60" i="17"/>
  <c r="Y68" i="18" l="1"/>
  <c r="X69" i="18"/>
  <c r="X61" i="17"/>
  <c r="Y69" i="18" l="1"/>
  <c r="X70" i="18"/>
  <c r="X62" i="17"/>
  <c r="X71" i="18" l="1"/>
  <c r="Y70" i="18"/>
  <c r="X63" i="17"/>
  <c r="X72" i="18" l="1"/>
  <c r="Y71" i="18"/>
  <c r="X64" i="17"/>
  <c r="X73" i="18" l="1"/>
  <c r="Y72" i="18"/>
  <c r="X65" i="17"/>
  <c r="X74" i="18" l="1"/>
  <c r="Y73" i="18"/>
  <c r="X66" i="17"/>
  <c r="Y74" i="18" l="1"/>
  <c r="X75" i="18"/>
  <c r="X67" i="17"/>
  <c r="X76" i="18" l="1"/>
  <c r="Y75" i="18"/>
  <c r="X68" i="17"/>
  <c r="X77" i="18" l="1"/>
  <c r="Y76" i="18"/>
  <c r="X69" i="17"/>
  <c r="X78" i="18" l="1"/>
  <c r="Y77" i="18"/>
  <c r="X70" i="17"/>
  <c r="X9" i="16"/>
  <c r="X10" i="16" s="1"/>
  <c r="X11" i="16" s="1"/>
  <c r="X9" i="14"/>
  <c r="X10" i="14" s="1"/>
  <c r="X11" i="14" s="1"/>
  <c r="X12" i="14" s="1"/>
  <c r="X13" i="14" s="1"/>
  <c r="X14" i="14" s="1"/>
  <c r="X15" i="14" s="1"/>
  <c r="X16" i="14" s="1"/>
  <c r="X17" i="14" s="1"/>
  <c r="X18" i="14" s="1"/>
  <c r="X19" i="14" s="1"/>
  <c r="X20" i="14" s="1"/>
  <c r="X21" i="14" s="1"/>
  <c r="X22" i="14" s="1"/>
  <c r="X23" i="14" s="1"/>
  <c r="X24" i="14" s="1"/>
  <c r="X25" i="14" s="1"/>
  <c r="X26" i="14" s="1"/>
  <c r="X27" i="14" s="1"/>
  <c r="X28" i="14" s="1"/>
  <c r="X29" i="14" s="1"/>
  <c r="X30" i="14" s="1"/>
  <c r="X31" i="14" s="1"/>
  <c r="X32" i="14" s="1"/>
  <c r="X33" i="14" s="1"/>
  <c r="X34" i="14" s="1"/>
  <c r="X35" i="14" s="1"/>
  <c r="X36" i="14" s="1"/>
  <c r="X37" i="14" s="1"/>
  <c r="X38" i="14" s="1"/>
  <c r="X39" i="14" s="1"/>
  <c r="X40" i="14" s="1"/>
  <c r="X41" i="14" s="1"/>
  <c r="X42" i="14" s="1"/>
  <c r="X43" i="14" s="1"/>
  <c r="X44" i="14" s="1"/>
  <c r="X45" i="14" s="1"/>
  <c r="X46" i="14" s="1"/>
  <c r="X47" i="14" s="1"/>
  <c r="X48" i="14" s="1"/>
  <c r="X49" i="14" s="1"/>
  <c r="X50" i="14" s="1"/>
  <c r="X51" i="14" s="1"/>
  <c r="X52" i="14" s="1"/>
  <c r="X53" i="14" s="1"/>
  <c r="X54" i="14" s="1"/>
  <c r="X55" i="14" s="1"/>
  <c r="X56" i="14" s="1"/>
  <c r="X57" i="14" s="1"/>
  <c r="X58" i="14" s="1"/>
  <c r="X59" i="14" s="1"/>
  <c r="X60" i="14" s="1"/>
  <c r="X61" i="14" s="1"/>
  <c r="X62" i="14" s="1"/>
  <c r="X63" i="14" s="1"/>
  <c r="X64" i="14" s="1"/>
  <c r="X65" i="14" s="1"/>
  <c r="X66" i="14" s="1"/>
  <c r="X67" i="14" s="1"/>
  <c r="X68" i="14" s="1"/>
  <c r="X69" i="14" s="1"/>
  <c r="X70" i="14" s="1"/>
  <c r="X71" i="14" s="1"/>
  <c r="X72" i="14" s="1"/>
  <c r="X73" i="14" s="1"/>
  <c r="X74" i="14" s="1"/>
  <c r="X75" i="14" s="1"/>
  <c r="X76" i="14" s="1"/>
  <c r="X77" i="14" s="1"/>
  <c r="X78" i="14" s="1"/>
  <c r="X79" i="14" s="1"/>
  <c r="X80" i="14" s="1"/>
  <c r="X81" i="14" s="1"/>
  <c r="X82" i="14" s="1"/>
  <c r="X83" i="14" s="1"/>
  <c r="X84" i="14" s="1"/>
  <c r="X85" i="14" s="1"/>
  <c r="X86" i="14" s="1"/>
  <c r="X87" i="14" s="1"/>
  <c r="X88" i="14" s="1"/>
  <c r="X89" i="14" s="1"/>
  <c r="X90" i="14" s="1"/>
  <c r="X91" i="14" s="1"/>
  <c r="X92" i="14" s="1"/>
  <c r="X93" i="14" s="1"/>
  <c r="X94" i="14" s="1"/>
  <c r="X95" i="14" s="1"/>
  <c r="X96" i="14" s="1"/>
  <c r="X97" i="14" s="1"/>
  <c r="X98" i="14" s="1"/>
  <c r="X99" i="14" s="1"/>
  <c r="X100" i="14" s="1"/>
  <c r="X101" i="14" s="1"/>
  <c r="X102" i="14" s="1"/>
  <c r="X103" i="14" s="1"/>
  <c r="X104" i="14" s="1"/>
  <c r="X105" i="14" s="1"/>
  <c r="X106" i="14" s="1"/>
  <c r="X107" i="14" s="1"/>
  <c r="X108" i="14" s="1"/>
  <c r="X109" i="14" s="1"/>
  <c r="X110" i="14" s="1"/>
  <c r="X79" i="18" l="1"/>
  <c r="Y78" i="18"/>
  <c r="X71" i="17"/>
  <c r="X12" i="16"/>
  <c r="O37" i="18"/>
  <c r="K37" i="18"/>
  <c r="G37" i="18"/>
  <c r="C37" i="18"/>
  <c r="S29" i="18"/>
  <c r="O29" i="18"/>
  <c r="K29" i="18"/>
  <c r="G29" i="18"/>
  <c r="C29" i="18"/>
  <c r="S21" i="18"/>
  <c r="O21" i="18"/>
  <c r="K21" i="18"/>
  <c r="G21" i="18"/>
  <c r="C21" i="18"/>
  <c r="S13" i="18"/>
  <c r="O13" i="18"/>
  <c r="K13" i="18"/>
  <c r="G13" i="18"/>
  <c r="C13" i="18"/>
  <c r="S5" i="18"/>
  <c r="O5" i="18"/>
  <c r="K5" i="18"/>
  <c r="C21" i="17"/>
  <c r="G21" i="17" s="1"/>
  <c r="K21" i="17" s="1"/>
  <c r="O21" i="17" s="1"/>
  <c r="S21" i="17" s="1"/>
  <c r="C29" i="17" s="1"/>
  <c r="G29" i="17" s="1"/>
  <c r="K29" i="17" s="1"/>
  <c r="O29" i="17" s="1"/>
  <c r="S29" i="17" s="1"/>
  <c r="C37" i="17" s="1"/>
  <c r="O13" i="17"/>
  <c r="K13" i="17"/>
  <c r="G13" i="17"/>
  <c r="C13" i="17"/>
  <c r="S5" i="17"/>
  <c r="O5" i="17"/>
  <c r="K5" i="17"/>
  <c r="G5" i="17"/>
  <c r="G13" i="16"/>
  <c r="K13" i="16" s="1"/>
  <c r="O13" i="16" s="1"/>
  <c r="S13" i="16" s="1"/>
  <c r="C21" i="16" s="1"/>
  <c r="G21" i="16" s="1"/>
  <c r="K21" i="16" s="1"/>
  <c r="O21" i="16" s="1"/>
  <c r="S21" i="16" s="1"/>
  <c r="C29" i="16" s="1"/>
  <c r="G29" i="16" s="1"/>
  <c r="K29" i="16" s="1"/>
  <c r="O29" i="16" s="1"/>
  <c r="S29" i="16" s="1"/>
  <c r="C37" i="16" s="1"/>
  <c r="G37" i="16" s="1"/>
  <c r="K37" i="16" s="1"/>
  <c r="O37" i="16" s="1"/>
  <c r="S37" i="16" s="1"/>
  <c r="S5" i="16"/>
  <c r="AF21" i="17" l="1"/>
  <c r="AG21" i="17" s="1"/>
  <c r="AF40" i="17"/>
  <c r="AG40" i="17" s="1"/>
  <c r="AF52" i="17"/>
  <c r="AG52" i="17" s="1"/>
  <c r="AF57" i="17"/>
  <c r="AG57" i="17" s="1"/>
  <c r="AF29" i="17"/>
  <c r="AG29" i="17" s="1"/>
  <c r="AF27" i="17"/>
  <c r="AG27" i="17" s="1"/>
  <c r="AF39" i="17"/>
  <c r="AG39" i="17" s="1"/>
  <c r="AD39" i="17" s="1"/>
  <c r="AF56" i="17"/>
  <c r="AG56" i="17" s="1"/>
  <c r="AF16" i="17"/>
  <c r="AG16" i="17" s="1"/>
  <c r="AD16" i="17" s="1"/>
  <c r="AF28" i="17"/>
  <c r="AG28" i="17" s="1"/>
  <c r="AF26" i="17"/>
  <c r="AG26" i="17" s="1"/>
  <c r="AF33" i="17"/>
  <c r="AG33" i="17" s="1"/>
  <c r="AD33" i="17" s="1"/>
  <c r="AF45" i="17"/>
  <c r="AG45" i="17" s="1"/>
  <c r="AF15" i="17"/>
  <c r="AG15" i="17" s="1"/>
  <c r="AD15" i="17" s="1"/>
  <c r="AF20" i="17"/>
  <c r="AG20" i="17" s="1"/>
  <c r="AD20" i="17" s="1"/>
  <c r="AF11" i="17"/>
  <c r="AG11" i="17" s="1"/>
  <c r="AD11" i="17" s="1"/>
  <c r="AF44" i="17"/>
  <c r="AG44" i="17" s="1"/>
  <c r="AF23" i="17"/>
  <c r="AG23" i="17" s="1"/>
  <c r="AF35" i="17"/>
  <c r="AG35" i="17" s="1"/>
  <c r="AF17" i="17"/>
  <c r="AG17" i="17" s="1"/>
  <c r="AD17" i="17" s="1"/>
  <c r="AF31" i="17"/>
  <c r="AG31" i="17" s="1"/>
  <c r="AF43" i="17"/>
  <c r="AG43" i="17" s="1"/>
  <c r="AD43" i="17" s="1"/>
  <c r="AF110" i="17"/>
  <c r="AG110" i="17" s="1"/>
  <c r="AD110" i="17" s="1"/>
  <c r="AF48" i="17"/>
  <c r="AG48" i="17" s="1"/>
  <c r="AF22" i="17"/>
  <c r="AG22" i="17" s="1"/>
  <c r="AF53" i="17"/>
  <c r="AG53" i="17" s="1"/>
  <c r="AF34" i="17"/>
  <c r="AG34" i="17" s="1"/>
  <c r="AF13" i="17"/>
  <c r="AG13" i="17" s="1"/>
  <c r="AD13" i="17" s="1"/>
  <c r="AF18" i="17"/>
  <c r="AG18" i="17" s="1"/>
  <c r="AF25" i="17"/>
  <c r="AG25" i="17" s="1"/>
  <c r="AF37" i="17"/>
  <c r="AG37" i="17" s="1"/>
  <c r="AF30" i="17"/>
  <c r="AG30" i="17" s="1"/>
  <c r="AF54" i="17"/>
  <c r="AG54" i="17" s="1"/>
  <c r="AF47" i="17"/>
  <c r="AG47" i="17" s="1"/>
  <c r="AF24" i="17"/>
  <c r="AG24" i="17" s="1"/>
  <c r="AF55" i="17"/>
  <c r="AG55" i="17" s="1"/>
  <c r="AF36" i="17"/>
  <c r="AG36" i="17" s="1"/>
  <c r="AD36" i="17" s="1"/>
  <c r="AF41" i="17"/>
  <c r="AG41" i="17" s="1"/>
  <c r="AD41" i="17" s="1"/>
  <c r="AF46" i="17"/>
  <c r="AG46" i="17" s="1"/>
  <c r="AD46" i="17" s="1"/>
  <c r="AF51" i="17"/>
  <c r="AG51" i="17" s="1"/>
  <c r="AF32" i="17"/>
  <c r="AG32" i="17" s="1"/>
  <c r="AF49" i="17"/>
  <c r="AG49" i="17" s="1"/>
  <c r="AF42" i="17"/>
  <c r="AG42" i="17" s="1"/>
  <c r="AF14" i="17"/>
  <c r="AG14" i="17" s="1"/>
  <c r="AD14" i="17" s="1"/>
  <c r="AF12" i="17"/>
  <c r="AG12" i="17" s="1"/>
  <c r="AD12" i="17" s="1"/>
  <c r="AF38" i="17"/>
  <c r="AG38" i="17" s="1"/>
  <c r="AD38" i="17" s="1"/>
  <c r="AF19" i="17"/>
  <c r="AG19" i="17" s="1"/>
  <c r="AD19" i="17" s="1"/>
  <c r="AF10" i="17"/>
  <c r="AG10" i="17" s="1"/>
  <c r="AD10" i="17" s="1"/>
  <c r="AF50" i="17"/>
  <c r="AG50" i="17" s="1"/>
  <c r="AF101" i="17"/>
  <c r="AG101" i="17" s="1"/>
  <c r="AF89" i="17"/>
  <c r="AG89" i="17" s="1"/>
  <c r="AF77" i="17"/>
  <c r="AG77" i="17" s="1"/>
  <c r="AF65" i="17"/>
  <c r="AG65" i="17" s="1"/>
  <c r="AF6" i="17"/>
  <c r="AG6" i="17" s="1"/>
  <c r="AD6" i="17" s="1"/>
  <c r="AF74" i="17"/>
  <c r="AG74" i="17" s="1"/>
  <c r="AF8" i="17"/>
  <c r="AG8" i="17" s="1"/>
  <c r="AD8" i="17" s="1"/>
  <c r="AF100" i="17"/>
  <c r="AG100" i="17" s="1"/>
  <c r="AF88" i="17"/>
  <c r="AG88" i="17" s="1"/>
  <c r="AF76" i="17"/>
  <c r="AG76" i="17" s="1"/>
  <c r="AF64" i="17"/>
  <c r="AG64" i="17" s="1"/>
  <c r="AD64" i="17" s="1"/>
  <c r="AF5" i="17"/>
  <c r="AG5" i="17" s="1"/>
  <c r="AD5" i="17" s="1"/>
  <c r="AF62" i="17"/>
  <c r="AG62" i="17" s="1"/>
  <c r="AF102" i="17"/>
  <c r="AG102" i="17" s="1"/>
  <c r="AD102" i="17" s="1"/>
  <c r="AF99" i="17"/>
  <c r="AG99" i="17" s="1"/>
  <c r="AD99" i="17" s="1"/>
  <c r="AF87" i="17"/>
  <c r="AG87" i="17" s="1"/>
  <c r="AF75" i="17"/>
  <c r="AG75" i="17" s="1"/>
  <c r="AF63" i="17"/>
  <c r="AG63" i="17" s="1"/>
  <c r="AD63" i="17" s="1"/>
  <c r="AF4" i="17"/>
  <c r="AF91" i="17"/>
  <c r="AG91" i="17" s="1"/>
  <c r="AF98" i="17"/>
  <c r="AG98" i="17" s="1"/>
  <c r="AD98" i="17" s="1"/>
  <c r="AF86" i="17"/>
  <c r="AG86" i="17" s="1"/>
  <c r="AF80" i="17"/>
  <c r="AG80" i="17" s="1"/>
  <c r="AF109" i="17"/>
  <c r="AG109" i="17" s="1"/>
  <c r="AF97" i="17"/>
  <c r="AG97" i="17" s="1"/>
  <c r="AF85" i="17"/>
  <c r="AG85" i="17" s="1"/>
  <c r="AF73" i="17"/>
  <c r="AG73" i="17" s="1"/>
  <c r="AF61" i="17"/>
  <c r="AG61" i="17" s="1"/>
  <c r="AF108" i="17"/>
  <c r="AG108" i="17" s="1"/>
  <c r="AF96" i="17"/>
  <c r="AG96" i="17" s="1"/>
  <c r="AF72" i="17"/>
  <c r="AG72" i="17" s="1"/>
  <c r="AF60" i="17"/>
  <c r="AG60" i="17" s="1"/>
  <c r="AD60" i="17" s="1"/>
  <c r="AF104" i="17"/>
  <c r="AG104" i="17" s="1"/>
  <c r="AF68" i="17"/>
  <c r="AG68" i="17" s="1"/>
  <c r="AF67" i="17"/>
  <c r="AG67" i="17" s="1"/>
  <c r="AF66" i="17"/>
  <c r="AG66" i="17" s="1"/>
  <c r="AF84" i="17"/>
  <c r="AG84" i="17" s="1"/>
  <c r="AF78" i="17"/>
  <c r="AG78" i="17" s="1"/>
  <c r="AF107" i="17"/>
  <c r="AG107" i="17" s="1"/>
  <c r="AD107" i="17" s="1"/>
  <c r="AF95" i="17"/>
  <c r="AG95" i="17" s="1"/>
  <c r="AF83" i="17"/>
  <c r="AG83" i="17" s="1"/>
  <c r="AF71" i="17"/>
  <c r="AG71" i="17" s="1"/>
  <c r="AF59" i="17"/>
  <c r="AG59" i="17" s="1"/>
  <c r="AD59" i="17" s="1"/>
  <c r="AF106" i="17"/>
  <c r="AG106" i="17" s="1"/>
  <c r="AF94" i="17"/>
  <c r="AG94" i="17" s="1"/>
  <c r="AF82" i="17"/>
  <c r="AG82" i="17" s="1"/>
  <c r="AF70" i="17"/>
  <c r="AG70" i="17" s="1"/>
  <c r="AF58" i="17"/>
  <c r="AG58" i="17" s="1"/>
  <c r="AF92" i="17"/>
  <c r="AG92" i="17" s="1"/>
  <c r="AD92" i="17" s="1"/>
  <c r="AF79" i="17"/>
  <c r="AG79" i="17" s="1"/>
  <c r="AF90" i="17"/>
  <c r="AG90" i="17" s="1"/>
  <c r="AF105" i="17"/>
  <c r="AG105" i="17" s="1"/>
  <c r="AD105" i="17" s="1"/>
  <c r="AF93" i="17"/>
  <c r="AG93" i="17" s="1"/>
  <c r="AF81" i="17"/>
  <c r="AG81" i="17" s="1"/>
  <c r="AF69" i="17"/>
  <c r="AG69" i="17" s="1"/>
  <c r="AF9" i="17"/>
  <c r="AG9" i="17" s="1"/>
  <c r="AD9" i="17" s="1"/>
  <c r="AF103" i="17"/>
  <c r="AG103" i="17" s="1"/>
  <c r="AF7" i="17"/>
  <c r="AG7" i="17" s="1"/>
  <c r="AD7" i="17" s="1"/>
  <c r="AF111" i="16"/>
  <c r="AG111" i="16" s="1"/>
  <c r="AF110" i="16"/>
  <c r="AG110" i="16" s="1"/>
  <c r="AF101" i="16"/>
  <c r="AG101" i="16" s="1"/>
  <c r="AF89" i="16"/>
  <c r="AG89" i="16" s="1"/>
  <c r="AF77" i="16"/>
  <c r="AG77" i="16" s="1"/>
  <c r="AF65" i="16"/>
  <c r="AG65" i="16" s="1"/>
  <c r="AF53" i="16"/>
  <c r="AG53" i="16" s="1"/>
  <c r="AF41" i="16"/>
  <c r="AG41" i="16" s="1"/>
  <c r="AD41" i="16" s="1"/>
  <c r="AF29" i="16"/>
  <c r="AG29" i="16" s="1"/>
  <c r="AF17" i="16"/>
  <c r="AG17" i="16" s="1"/>
  <c r="AD17" i="16" s="1"/>
  <c r="AF7" i="16"/>
  <c r="AG7" i="16" s="1"/>
  <c r="AF52" i="16"/>
  <c r="AG52" i="16" s="1"/>
  <c r="AF28" i="16"/>
  <c r="AG28" i="16" s="1"/>
  <c r="AF16" i="16"/>
  <c r="AG16" i="16" s="1"/>
  <c r="AD16" i="16" s="1"/>
  <c r="AF6" i="16"/>
  <c r="AG6" i="16" s="1"/>
  <c r="AD6" i="16" s="1"/>
  <c r="AF72" i="16"/>
  <c r="AG72" i="16" s="1"/>
  <c r="AF12" i="16"/>
  <c r="AG12" i="16" s="1"/>
  <c r="AD12" i="16" s="1"/>
  <c r="AF95" i="16"/>
  <c r="AG95" i="16" s="1"/>
  <c r="AF71" i="16"/>
  <c r="AG71" i="16" s="1"/>
  <c r="AF47" i="16"/>
  <c r="AG47" i="16" s="1"/>
  <c r="AF35" i="16"/>
  <c r="AG35" i="16" s="1"/>
  <c r="AD35" i="16" s="1"/>
  <c r="AF11" i="16"/>
  <c r="AG11" i="16" s="1"/>
  <c r="AD11" i="16" s="1"/>
  <c r="AF94" i="16"/>
  <c r="AG94" i="16" s="1"/>
  <c r="AF70" i="16"/>
  <c r="AG70" i="16" s="1"/>
  <c r="AF22" i="16"/>
  <c r="AG22" i="16" s="1"/>
  <c r="AD22" i="16" s="1"/>
  <c r="AF93" i="16"/>
  <c r="AG93" i="16" s="1"/>
  <c r="AF81" i="16"/>
  <c r="AG81" i="16" s="1"/>
  <c r="AF21" i="16"/>
  <c r="AG21" i="16" s="1"/>
  <c r="AF92" i="16"/>
  <c r="AG92" i="16" s="1"/>
  <c r="AD92" i="16" s="1"/>
  <c r="AF56" i="16"/>
  <c r="AG56" i="16" s="1"/>
  <c r="AF32" i="16"/>
  <c r="AG32" i="16" s="1"/>
  <c r="AD32" i="16" s="1"/>
  <c r="AF20" i="16"/>
  <c r="AG20" i="16" s="1"/>
  <c r="AD20" i="16" s="1"/>
  <c r="AF103" i="16"/>
  <c r="AG103" i="16" s="1"/>
  <c r="AF79" i="16"/>
  <c r="AG79" i="16" s="1"/>
  <c r="AF55" i="16"/>
  <c r="AG55" i="16" s="1"/>
  <c r="AF19" i="16"/>
  <c r="AG19" i="16" s="1"/>
  <c r="AD19" i="16" s="1"/>
  <c r="AF102" i="16"/>
  <c r="AG102" i="16" s="1"/>
  <c r="AD102" i="16" s="1"/>
  <c r="AF78" i="16"/>
  <c r="AG78" i="16" s="1"/>
  <c r="AD78" i="16" s="1"/>
  <c r="AF42" i="16"/>
  <c r="AG42" i="16" s="1"/>
  <c r="AD42" i="16" s="1"/>
  <c r="AF100" i="16"/>
  <c r="AG100" i="16" s="1"/>
  <c r="AD100" i="16" s="1"/>
  <c r="AF88" i="16"/>
  <c r="AG88" i="16" s="1"/>
  <c r="AF76" i="16"/>
  <c r="AG76" i="16" s="1"/>
  <c r="AF64" i="16"/>
  <c r="AG64" i="16" s="1"/>
  <c r="AF40" i="16"/>
  <c r="AG40" i="16" s="1"/>
  <c r="AF48" i="16"/>
  <c r="AG48" i="16" s="1"/>
  <c r="AD48" i="16" s="1"/>
  <c r="AF59" i="16"/>
  <c r="AG59" i="16" s="1"/>
  <c r="AD59" i="16" s="1"/>
  <c r="AF46" i="16"/>
  <c r="AG46" i="16" s="1"/>
  <c r="AF105" i="16"/>
  <c r="AG105" i="16" s="1"/>
  <c r="AD105" i="16" s="1"/>
  <c r="AF57" i="16"/>
  <c r="AG57" i="16" s="1"/>
  <c r="AD57" i="16" s="1"/>
  <c r="AF44" i="16"/>
  <c r="AG44" i="16" s="1"/>
  <c r="AD44" i="16" s="1"/>
  <c r="AF43" i="16"/>
  <c r="AG43" i="16" s="1"/>
  <c r="AD43" i="16" s="1"/>
  <c r="AF18" i="16"/>
  <c r="AG18" i="16" s="1"/>
  <c r="AF99" i="16"/>
  <c r="AG99" i="16" s="1"/>
  <c r="AD99" i="16" s="1"/>
  <c r="AF87" i="16"/>
  <c r="AG87" i="16" s="1"/>
  <c r="AF75" i="16"/>
  <c r="AG75" i="16" s="1"/>
  <c r="AF63" i="16"/>
  <c r="AG63" i="16" s="1"/>
  <c r="AF51" i="16"/>
  <c r="AG51" i="16" s="1"/>
  <c r="AD51" i="16" s="1"/>
  <c r="AF39" i="16"/>
  <c r="AG39" i="16" s="1"/>
  <c r="AD39" i="16" s="1"/>
  <c r="AF27" i="16"/>
  <c r="AG27" i="16" s="1"/>
  <c r="AF15" i="16"/>
  <c r="AG15" i="16" s="1"/>
  <c r="AD15" i="16" s="1"/>
  <c r="AF5" i="16"/>
  <c r="AG5" i="16" s="1"/>
  <c r="AD5" i="16" s="1"/>
  <c r="AF25" i="16"/>
  <c r="AG25" i="16" s="1"/>
  <c r="AD25" i="16" s="1"/>
  <c r="AF108" i="16"/>
  <c r="AG108" i="16" s="1"/>
  <c r="AF98" i="16"/>
  <c r="AG98" i="16" s="1"/>
  <c r="AD98" i="16" s="1"/>
  <c r="AF86" i="16"/>
  <c r="AG86" i="16" s="1"/>
  <c r="AF74" i="16"/>
  <c r="AG74" i="16" s="1"/>
  <c r="AF62" i="16"/>
  <c r="AG62" i="16" s="1"/>
  <c r="AD62" i="16" s="1"/>
  <c r="AF50" i="16"/>
  <c r="AG50" i="16" s="1"/>
  <c r="AF38" i="16"/>
  <c r="AG38" i="16" s="1"/>
  <c r="AD38" i="16" s="1"/>
  <c r="AF26" i="16"/>
  <c r="AG26" i="16" s="1"/>
  <c r="AD26" i="16" s="1"/>
  <c r="AF14" i="16"/>
  <c r="AG14" i="16" s="1"/>
  <c r="AD14" i="16" s="1"/>
  <c r="AF4" i="16"/>
  <c r="AF109" i="16"/>
  <c r="AG109" i="16" s="1"/>
  <c r="AF97" i="16"/>
  <c r="AG97" i="16" s="1"/>
  <c r="AF85" i="16"/>
  <c r="AG85" i="16" s="1"/>
  <c r="AF73" i="16"/>
  <c r="AG73" i="16" s="1"/>
  <c r="AF61" i="16"/>
  <c r="AG61" i="16" s="1"/>
  <c r="AD61" i="16" s="1"/>
  <c r="AF49" i="16"/>
  <c r="AG49" i="16" s="1"/>
  <c r="AF37" i="16"/>
  <c r="AG37" i="16" s="1"/>
  <c r="AF13" i="16"/>
  <c r="AG13" i="16" s="1"/>
  <c r="AD13" i="16" s="1"/>
  <c r="AF96" i="16"/>
  <c r="AG96" i="16" s="1"/>
  <c r="AF84" i="16"/>
  <c r="AG84" i="16" s="1"/>
  <c r="AF60" i="16"/>
  <c r="AG60" i="16" s="1"/>
  <c r="AD60" i="16" s="1"/>
  <c r="AF36" i="16"/>
  <c r="AG36" i="16" s="1"/>
  <c r="AD36" i="16" s="1"/>
  <c r="AF24" i="16"/>
  <c r="AG24" i="16" s="1"/>
  <c r="AF107" i="16"/>
  <c r="AG107" i="16" s="1"/>
  <c r="AD107" i="16" s="1"/>
  <c r="AF83" i="16"/>
  <c r="AG83" i="16" s="1"/>
  <c r="AD83" i="16" s="1"/>
  <c r="AF23" i="16"/>
  <c r="AG23" i="16" s="1"/>
  <c r="AF106" i="16"/>
  <c r="AG106" i="16" s="1"/>
  <c r="AF82" i="16"/>
  <c r="AG82" i="16" s="1"/>
  <c r="AF58" i="16"/>
  <c r="AG58" i="16" s="1"/>
  <c r="AD58" i="16" s="1"/>
  <c r="AF34" i="16"/>
  <c r="AG34" i="16" s="1"/>
  <c r="AF10" i="16"/>
  <c r="AG10" i="16" s="1"/>
  <c r="AD10" i="16" s="1"/>
  <c r="AF69" i="16"/>
  <c r="AG69" i="16" s="1"/>
  <c r="AF45" i="16"/>
  <c r="AG45" i="16" s="1"/>
  <c r="AD45" i="16" s="1"/>
  <c r="AF33" i="16"/>
  <c r="AG33" i="16" s="1"/>
  <c r="AD33" i="16" s="1"/>
  <c r="AF104" i="16"/>
  <c r="AG104" i="16" s="1"/>
  <c r="AF80" i="16"/>
  <c r="AG80" i="16" s="1"/>
  <c r="AF9" i="16"/>
  <c r="AG9" i="16" s="1"/>
  <c r="AD9" i="16" s="1"/>
  <c r="AF91" i="16"/>
  <c r="AG91" i="16" s="1"/>
  <c r="AD91" i="16" s="1"/>
  <c r="AF67" i="16"/>
  <c r="AG67" i="16" s="1"/>
  <c r="AF90" i="16"/>
  <c r="AG90" i="16" s="1"/>
  <c r="AF66" i="16"/>
  <c r="AG66" i="16" s="1"/>
  <c r="AF30" i="16"/>
  <c r="AG30" i="16" s="1"/>
  <c r="AF8" i="16"/>
  <c r="AG8" i="16" s="1"/>
  <c r="AF68" i="16"/>
  <c r="AG68" i="16" s="1"/>
  <c r="AF31" i="16"/>
  <c r="AG31" i="16" s="1"/>
  <c r="AD31" i="16" s="1"/>
  <c r="AF54" i="16"/>
  <c r="AG54" i="16" s="1"/>
  <c r="AD54" i="16" s="1"/>
  <c r="Y79" i="18"/>
  <c r="X80" i="18"/>
  <c r="X72" i="17"/>
  <c r="X13" i="16"/>
  <c r="K30" i="8"/>
  <c r="C21" i="8"/>
  <c r="G21" i="8" s="1"/>
  <c r="K21" i="8" s="1"/>
  <c r="O21" i="8" s="1"/>
  <c r="S21" i="8" s="1"/>
  <c r="AG4" i="17" l="1"/>
  <c r="AD4" i="17" s="1"/>
  <c r="AF1" i="17"/>
  <c r="AG4" i="16"/>
  <c r="AD82" i="16" s="1"/>
  <c r="AF1" i="16"/>
  <c r="Y80" i="18"/>
  <c r="X81" i="18"/>
  <c r="X73" i="17"/>
  <c r="X14" i="16"/>
  <c r="C13" i="15"/>
  <c r="G13" i="15" s="1"/>
  <c r="K13" i="15" s="1"/>
  <c r="O13" i="15" s="1"/>
  <c r="S13" i="15" s="1"/>
  <c r="C21" i="15" s="1"/>
  <c r="G21" i="15" s="1"/>
  <c r="K21" i="15" s="1"/>
  <c r="O21" i="15" s="1"/>
  <c r="S21" i="15" s="1"/>
  <c r="C30" i="15" s="1"/>
  <c r="G30" i="15" s="1"/>
  <c r="K30" i="15" s="1"/>
  <c r="O30" i="15" s="1"/>
  <c r="S30" i="15" s="1"/>
  <c r="C38" i="15" s="1"/>
  <c r="G38" i="15" s="1"/>
  <c r="K38" i="15" s="1"/>
  <c r="O38" i="15" s="1"/>
  <c r="AD58" i="17" l="1"/>
  <c r="AD56" i="17"/>
  <c r="AD95" i="17"/>
  <c r="AD108" i="17"/>
  <c r="AD78" i="17"/>
  <c r="AD83" i="17"/>
  <c r="AD85" i="17"/>
  <c r="AD79" i="17"/>
  <c r="AD30" i="17"/>
  <c r="AD66" i="17"/>
  <c r="AD35" i="17"/>
  <c r="AD73" i="17"/>
  <c r="AD31" i="17"/>
  <c r="AD77" i="17"/>
  <c r="AD101" i="17"/>
  <c r="AD90" i="17"/>
  <c r="AD54" i="17"/>
  <c r="AD84" i="17"/>
  <c r="AD50" i="17"/>
  <c r="AD81" i="17"/>
  <c r="AD48" i="17"/>
  <c r="AD75" i="17"/>
  <c r="AD37" i="17"/>
  <c r="AD53" i="17"/>
  <c r="AD80" i="17"/>
  <c r="AD27" i="17"/>
  <c r="AD62" i="17"/>
  <c r="AD23" i="17"/>
  <c r="AD97" i="17"/>
  <c r="AD25" i="17"/>
  <c r="AD24" i="17"/>
  <c r="AD49" i="17"/>
  <c r="AD109" i="17"/>
  <c r="AD89" i="17"/>
  <c r="AD61" i="17"/>
  <c r="AD93" i="17"/>
  <c r="Y4" i="17"/>
  <c r="AD42" i="17"/>
  <c r="AD28" i="17"/>
  <c r="AD106" i="17"/>
  <c r="AD91" i="17"/>
  <c r="AD29" i="17"/>
  <c r="AD103" i="17"/>
  <c r="AD65" i="17"/>
  <c r="AD69" i="17"/>
  <c r="AD74" i="17"/>
  <c r="AD47" i="17"/>
  <c r="AD44" i="17"/>
  <c r="AD71" i="17"/>
  <c r="AD26" i="17"/>
  <c r="AD104" i="17"/>
  <c r="AD82" i="17"/>
  <c r="AD18" i="17"/>
  <c r="AD72" i="17"/>
  <c r="AD96" i="17"/>
  <c r="AD21" i="17"/>
  <c r="AD76" i="17"/>
  <c r="AD86" i="17"/>
  <c r="AD67" i="17"/>
  <c r="AD32" i="17"/>
  <c r="AD100" i="17"/>
  <c r="AD45" i="17"/>
  <c r="AD70" i="17"/>
  <c r="AD52" i="17"/>
  <c r="AD57" i="17"/>
  <c r="AD94" i="17"/>
  <c r="AD88" i="17"/>
  <c r="AD22" i="17"/>
  <c r="AD40" i="17"/>
  <c r="AD34" i="17"/>
  <c r="AD51" i="17"/>
  <c r="AD87" i="17"/>
  <c r="AD68" i="17"/>
  <c r="AD55" i="17"/>
  <c r="AD96" i="16"/>
  <c r="AD46" i="16"/>
  <c r="AD53" i="16"/>
  <c r="AD104" i="16"/>
  <c r="AD69" i="16"/>
  <c r="AD65" i="16"/>
  <c r="AD74" i="16"/>
  <c r="AD76" i="16"/>
  <c r="AD37" i="16"/>
  <c r="AD87" i="16"/>
  <c r="AD66" i="16"/>
  <c r="AD50" i="16"/>
  <c r="AD30" i="16"/>
  <c r="AD103" i="16"/>
  <c r="AD70" i="16"/>
  <c r="AD4" i="16"/>
  <c r="AD88" i="16"/>
  <c r="AD72" i="16"/>
  <c r="AD109" i="16"/>
  <c r="AD80" i="16"/>
  <c r="AD21" i="16"/>
  <c r="AD95" i="16"/>
  <c r="AD93" i="16"/>
  <c r="AD81" i="16"/>
  <c r="AD106" i="16"/>
  <c r="AD24" i="16"/>
  <c r="AD56" i="16"/>
  <c r="AD49" i="16"/>
  <c r="AD86" i="16"/>
  <c r="AD23" i="16"/>
  <c r="AD64" i="16"/>
  <c r="AD85" i="16"/>
  <c r="AD73" i="16"/>
  <c r="AD110" i="16"/>
  <c r="AD101" i="16"/>
  <c r="AD47" i="16"/>
  <c r="AD63" i="16"/>
  <c r="AD71" i="16"/>
  <c r="AD90" i="16"/>
  <c r="AD75" i="16"/>
  <c r="AD89" i="16"/>
  <c r="AD97" i="16"/>
  <c r="AD18" i="16"/>
  <c r="AD108" i="16"/>
  <c r="AD77" i="16"/>
  <c r="AD67" i="16"/>
  <c r="AD52" i="16"/>
  <c r="AD34" i="16"/>
  <c r="AD111" i="16"/>
  <c r="AD40" i="16"/>
  <c r="AD8" i="16"/>
  <c r="AD79" i="16"/>
  <c r="AD7" i="16"/>
  <c r="AD68" i="16"/>
  <c r="AD29" i="16"/>
  <c r="AD55" i="16"/>
  <c r="AD84" i="16"/>
  <c r="AD28" i="16"/>
  <c r="AD27" i="16"/>
  <c r="AD94" i="16"/>
  <c r="Y81" i="18"/>
  <c r="X82" i="18"/>
  <c r="X74" i="17"/>
  <c r="X15" i="16"/>
  <c r="K5" i="14"/>
  <c r="G5" i="13"/>
  <c r="K5" i="13" s="1"/>
  <c r="O5" i="13" s="1"/>
  <c r="S5" i="13" s="1"/>
  <c r="C12" i="13" s="1"/>
  <c r="O5" i="11"/>
  <c r="S5" i="11" s="1"/>
  <c r="C13" i="11" s="1"/>
  <c r="G13" i="11" s="1"/>
  <c r="K13" i="11" s="1"/>
  <c r="O13" i="11" s="1"/>
  <c r="S13" i="11" s="1"/>
  <c r="C21" i="11" s="1"/>
  <c r="G21" i="11" s="1"/>
  <c r="K21" i="11" s="1"/>
  <c r="O21" i="11" s="1"/>
  <c r="S21" i="11" s="1"/>
  <c r="C29" i="11" s="1"/>
  <c r="G29" i="11" s="1"/>
  <c r="K29" i="11" s="1"/>
  <c r="O29" i="11" s="1"/>
  <c r="S29" i="11" s="1"/>
  <c r="C37" i="11" s="1"/>
  <c r="G37" i="11" s="1"/>
  <c r="K37" i="11" s="1"/>
  <c r="O37" i="11" s="1"/>
  <c r="S37" i="11" s="1"/>
  <c r="Y73" i="17" l="1"/>
  <c r="Y72" i="17"/>
  <c r="Y26" i="17"/>
  <c r="Y37" i="17"/>
  <c r="Y36" i="17"/>
  <c r="Y69" i="17"/>
  <c r="Y15" i="17"/>
  <c r="Y63" i="17"/>
  <c r="Y49" i="17"/>
  <c r="Y60" i="17"/>
  <c r="Y7" i="17"/>
  <c r="Y71" i="17"/>
  <c r="Y47" i="17"/>
  <c r="Y17" i="17"/>
  <c r="Y70" i="17"/>
  <c r="Y5" i="17"/>
  <c r="Y45" i="17"/>
  <c r="Y68" i="17"/>
  <c r="Y56" i="17"/>
  <c r="Y44" i="17"/>
  <c r="Y32" i="17"/>
  <c r="Y6" i="17"/>
  <c r="Y14" i="17"/>
  <c r="Y39" i="17"/>
  <c r="Y38" i="17"/>
  <c r="Y61" i="17"/>
  <c r="Y35" i="17"/>
  <c r="Y46" i="17"/>
  <c r="Y10" i="17"/>
  <c r="Y27" i="17"/>
  <c r="Y50" i="17"/>
  <c r="Y19" i="17"/>
  <c r="Y8" i="17"/>
  <c r="Y25" i="17"/>
  <c r="Y66" i="17"/>
  <c r="Y54" i="17"/>
  <c r="Y42" i="17"/>
  <c r="Y30" i="17"/>
  <c r="Y24" i="17"/>
  <c r="Y13" i="17"/>
  <c r="Y21" i="17"/>
  <c r="Y18" i="17"/>
  <c r="Y34" i="17"/>
  <c r="Y57" i="17"/>
  <c r="Y53" i="17"/>
  <c r="Y23" i="17"/>
  <c r="Y12" i="17"/>
  <c r="Y51" i="17"/>
  <c r="Y62" i="17"/>
  <c r="Y20" i="17"/>
  <c r="Y9" i="17"/>
  <c r="Y48" i="17"/>
  <c r="Y59" i="17"/>
  <c r="Y58" i="17"/>
  <c r="Y16" i="17"/>
  <c r="Y33" i="17"/>
  <c r="Y67" i="17"/>
  <c r="Y55" i="17"/>
  <c r="Y43" i="17"/>
  <c r="Y31" i="17"/>
  <c r="Y65" i="17"/>
  <c r="Y41" i="17"/>
  <c r="Y29" i="17"/>
  <c r="Y64" i="17"/>
  <c r="Y52" i="17"/>
  <c r="Y40" i="17"/>
  <c r="Y28" i="17"/>
  <c r="Y22" i="17"/>
  <c r="Y11" i="17"/>
  <c r="Y14" i="16"/>
  <c r="Y5" i="16"/>
  <c r="Y4" i="16"/>
  <c r="Y9" i="16"/>
  <c r="Y8" i="16"/>
  <c r="Y10" i="16"/>
  <c r="Y11" i="16"/>
  <c r="Y12" i="16"/>
  <c r="Y6" i="16"/>
  <c r="Y13" i="16"/>
  <c r="Y7" i="16"/>
  <c r="X83" i="18"/>
  <c r="Y82" i="18"/>
  <c r="Y74" i="17"/>
  <c r="X75" i="17"/>
  <c r="Y15" i="16"/>
  <c r="X16" i="16"/>
  <c r="AF17" i="14"/>
  <c r="AG17" i="14" s="1"/>
  <c r="AD17" i="14" s="1"/>
  <c r="O5" i="14"/>
  <c r="S5" i="14" s="1"/>
  <c r="C13" i="14" s="1"/>
  <c r="G13" i="14" s="1"/>
  <c r="K13" i="14" s="1"/>
  <c r="O13" i="14" s="1"/>
  <c r="S13" i="14" s="1"/>
  <c r="C22" i="14" s="1"/>
  <c r="G22" i="14" s="1"/>
  <c r="K22" i="14" s="1"/>
  <c r="O22" i="14" s="1"/>
  <c r="S22" i="14" s="1"/>
  <c r="C30" i="14" s="1"/>
  <c r="G30" i="14" s="1"/>
  <c r="K30" i="14" s="1"/>
  <c r="O30" i="14" s="1"/>
  <c r="S30" i="14" s="1"/>
  <c r="C38" i="14" s="1"/>
  <c r="G38" i="14" s="1"/>
  <c r="K38" i="14" s="1"/>
  <c r="G12" i="13"/>
  <c r="K12" i="13" s="1"/>
  <c r="O12" i="13" s="1"/>
  <c r="S12" i="13" s="1"/>
  <c r="C19" i="13" s="1"/>
  <c r="G19" i="13" s="1"/>
  <c r="K19" i="13" s="1"/>
  <c r="O19" i="13" s="1"/>
  <c r="S19" i="13" s="1"/>
  <c r="C26" i="13" s="1"/>
  <c r="G26" i="13" s="1"/>
  <c r="K26" i="13" s="1"/>
  <c r="O26" i="13" s="1"/>
  <c r="S26" i="13" s="1"/>
  <c r="C33" i="13" s="1"/>
  <c r="G5" i="9"/>
  <c r="K5" i="9" s="1"/>
  <c r="O5" i="9" s="1"/>
  <c r="S5" i="9" s="1"/>
  <c r="C13" i="9" s="1"/>
  <c r="G13" i="9" s="1"/>
  <c r="K13" i="9" s="1"/>
  <c r="O13" i="9" s="1"/>
  <c r="S13" i="9" s="1"/>
  <c r="C21" i="9" s="1"/>
  <c r="G21" i="9" s="1"/>
  <c r="K21" i="9" s="1"/>
  <c r="O21" i="9" s="1"/>
  <c r="S21" i="9" s="1"/>
  <c r="C29" i="9" s="1"/>
  <c r="G29" i="9" s="1"/>
  <c r="K29" i="9" s="1"/>
  <c r="O29" i="9" s="1"/>
  <c r="S29" i="9" s="1"/>
  <c r="C37" i="9" s="1"/>
  <c r="G37" i="9" s="1"/>
  <c r="C13" i="8"/>
  <c r="G13" i="8" s="1"/>
  <c r="K13" i="8" s="1"/>
  <c r="O13" i="8" s="1"/>
  <c r="S13" i="8" s="1"/>
  <c r="C30" i="8" s="1"/>
  <c r="G30" i="8" s="1"/>
  <c r="O5" i="6"/>
  <c r="S5" i="6" s="1"/>
  <c r="C13" i="6" s="1"/>
  <c r="G13" i="6" s="1"/>
  <c r="K13" i="6" s="1"/>
  <c r="O13" i="6" s="1"/>
  <c r="S13" i="6" s="1"/>
  <c r="C23" i="6" s="1"/>
  <c r="G23" i="6" s="1"/>
  <c r="K23" i="6" s="1"/>
  <c r="O23" i="6" s="1"/>
  <c r="S23" i="6" s="1"/>
  <c r="C32" i="6" s="1"/>
  <c r="G32" i="6" s="1"/>
  <c r="G5" i="5"/>
  <c r="K5" i="5" s="1"/>
  <c r="O5" i="5" s="1"/>
  <c r="S5" i="5" s="1"/>
  <c r="C14" i="5" s="1"/>
  <c r="G14" i="5" s="1"/>
  <c r="K14" i="5" s="1"/>
  <c r="O14" i="5" s="1"/>
  <c r="S14" i="5" s="1"/>
  <c r="C23" i="5" s="1"/>
  <c r="G23" i="5" s="1"/>
  <c r="K23" i="5" s="1"/>
  <c r="O23" i="5" s="1"/>
  <c r="S23" i="5" s="1"/>
  <c r="C31" i="5" s="1"/>
  <c r="G31" i="5" s="1"/>
  <c r="K31" i="5" s="1"/>
  <c r="O31" i="5" s="1"/>
  <c r="S31" i="5" s="1"/>
  <c r="C39" i="5" s="1"/>
  <c r="Y83" i="18" l="1"/>
  <c r="X84" i="18"/>
  <c r="X76" i="17"/>
  <c r="Y75" i="17"/>
  <c r="X17" i="16"/>
  <c r="Y16" i="16"/>
  <c r="AF64" i="14"/>
  <c r="AG64" i="14" s="1"/>
  <c r="AD64" i="14" s="1"/>
  <c r="AF69" i="14"/>
  <c r="AG69" i="14" s="1"/>
  <c r="AF26" i="14"/>
  <c r="AG26" i="14" s="1"/>
  <c r="AD26" i="14" s="1"/>
  <c r="AF25" i="14"/>
  <c r="AG25" i="14" s="1"/>
  <c r="AD25" i="14" s="1"/>
  <c r="AF24" i="14"/>
  <c r="AG24" i="14" s="1"/>
  <c r="AD24" i="14" s="1"/>
  <c r="AF54" i="14"/>
  <c r="AG54" i="14" s="1"/>
  <c r="AD54" i="14" s="1"/>
  <c r="AF106" i="14"/>
  <c r="AG106" i="14" s="1"/>
  <c r="AF60" i="14"/>
  <c r="AG60" i="14" s="1"/>
  <c r="AD60" i="14" s="1"/>
  <c r="AF63" i="14"/>
  <c r="AG63" i="14" s="1"/>
  <c r="AF49" i="14"/>
  <c r="AG49" i="14" s="1"/>
  <c r="AF23" i="14"/>
  <c r="AG23" i="14" s="1"/>
  <c r="AF16" i="14"/>
  <c r="AG16" i="14" s="1"/>
  <c r="AD16" i="14" s="1"/>
  <c r="AF108" i="14"/>
  <c r="AG108" i="14" s="1"/>
  <c r="AF73" i="14"/>
  <c r="AG73" i="14" s="1"/>
  <c r="AF10" i="14"/>
  <c r="AG10" i="14" s="1"/>
  <c r="AD10" i="14" s="1"/>
  <c r="AF31" i="14"/>
  <c r="AG31" i="14" s="1"/>
  <c r="AF34" i="14"/>
  <c r="AG34" i="14" s="1"/>
  <c r="AD34" i="14" s="1"/>
  <c r="AF40" i="14"/>
  <c r="AG40" i="14" s="1"/>
  <c r="AF65" i="14"/>
  <c r="AG65" i="14" s="1"/>
  <c r="AF79" i="14"/>
  <c r="AG79" i="14" s="1"/>
  <c r="AF104" i="14"/>
  <c r="AG104" i="14" s="1"/>
  <c r="AF71" i="14"/>
  <c r="AG71" i="14" s="1"/>
  <c r="AF85" i="14"/>
  <c r="AG85" i="14" s="1"/>
  <c r="AF18" i="14"/>
  <c r="AG18" i="14" s="1"/>
  <c r="AD18" i="14" s="1"/>
  <c r="AF51" i="14"/>
  <c r="AG51" i="14" s="1"/>
  <c r="AD51" i="14" s="1"/>
  <c r="AF35" i="14"/>
  <c r="AG35" i="14" s="1"/>
  <c r="AF95" i="14"/>
  <c r="AG95" i="14" s="1"/>
  <c r="AF78" i="14"/>
  <c r="AG78" i="14" s="1"/>
  <c r="AF90" i="14"/>
  <c r="AG90" i="14" s="1"/>
  <c r="AF82" i="14"/>
  <c r="AG82" i="14" s="1"/>
  <c r="AF37" i="14"/>
  <c r="AG37" i="14" s="1"/>
  <c r="AF12" i="14"/>
  <c r="AG12" i="14" s="1"/>
  <c r="AD12" i="14" s="1"/>
  <c r="AF92" i="14"/>
  <c r="AG92" i="14" s="1"/>
  <c r="AD92" i="14" s="1"/>
  <c r="AF13" i="14"/>
  <c r="AG13" i="14" s="1"/>
  <c r="AD13" i="14" s="1"/>
  <c r="AF75" i="14"/>
  <c r="AG75" i="14" s="1"/>
  <c r="AF30" i="14"/>
  <c r="AG30" i="14" s="1"/>
  <c r="AF29" i="14"/>
  <c r="AG29" i="14" s="1"/>
  <c r="AF84" i="14"/>
  <c r="AG84" i="14" s="1"/>
  <c r="AF57" i="14"/>
  <c r="AG57" i="14" s="1"/>
  <c r="AF101" i="14"/>
  <c r="AG101" i="14" s="1"/>
  <c r="AF42" i="14"/>
  <c r="AG42" i="14" s="1"/>
  <c r="AD42" i="14" s="1"/>
  <c r="AF47" i="14"/>
  <c r="AG47" i="14" s="1"/>
  <c r="AF68" i="14"/>
  <c r="AG68" i="14" s="1"/>
  <c r="AF67" i="14"/>
  <c r="AG67" i="14" s="1"/>
  <c r="AF105" i="14"/>
  <c r="AG105" i="14" s="1"/>
  <c r="AD105" i="14" s="1"/>
  <c r="AF22" i="14"/>
  <c r="AG22" i="14" s="1"/>
  <c r="AD22" i="14" s="1"/>
  <c r="AF5" i="14"/>
  <c r="AG5" i="14" s="1"/>
  <c r="AD5" i="14" s="1"/>
  <c r="AF58" i="14"/>
  <c r="AG58" i="14" s="1"/>
  <c r="AD58" i="14" s="1"/>
  <c r="AF50" i="14"/>
  <c r="AG50" i="14" s="1"/>
  <c r="AF9" i="14"/>
  <c r="AG9" i="14" s="1"/>
  <c r="AD9" i="14" s="1"/>
  <c r="AF43" i="14"/>
  <c r="AG43" i="14" s="1"/>
  <c r="AD43" i="14" s="1"/>
  <c r="AF33" i="14"/>
  <c r="AG33" i="14" s="1"/>
  <c r="AD33" i="14" s="1"/>
  <c r="AF32" i="14"/>
  <c r="AG32" i="14" s="1"/>
  <c r="AD32" i="14" s="1"/>
  <c r="AF44" i="14"/>
  <c r="AG44" i="14" s="1"/>
  <c r="AD44" i="14" s="1"/>
  <c r="AF6" i="14"/>
  <c r="AG6" i="14" s="1"/>
  <c r="AD6" i="14" s="1"/>
  <c r="AF14" i="14"/>
  <c r="AG14" i="14" s="1"/>
  <c r="AD14" i="14" s="1"/>
  <c r="AF81" i="14"/>
  <c r="AG81" i="14" s="1"/>
  <c r="AF66" i="14"/>
  <c r="AG66" i="14" s="1"/>
  <c r="AF20" i="14"/>
  <c r="AG20" i="14" s="1"/>
  <c r="AD20" i="14" s="1"/>
  <c r="AF62" i="14"/>
  <c r="AG62" i="14" s="1"/>
  <c r="AD62" i="14" s="1"/>
  <c r="AF74" i="14"/>
  <c r="AG74" i="14" s="1"/>
  <c r="AF41" i="14"/>
  <c r="AG41" i="14" s="1"/>
  <c r="AD41" i="14" s="1"/>
  <c r="AF70" i="14"/>
  <c r="AG70" i="14" s="1"/>
  <c r="AF48" i="14"/>
  <c r="AG48" i="14" s="1"/>
  <c r="AF109" i="14"/>
  <c r="AG109" i="14" s="1"/>
  <c r="AF100" i="14"/>
  <c r="AG100" i="14" s="1"/>
  <c r="AF53" i="14"/>
  <c r="AG53" i="14" s="1"/>
  <c r="AD53" i="14" s="1"/>
  <c r="AF59" i="14"/>
  <c r="AG59" i="14" s="1"/>
  <c r="AF103" i="14"/>
  <c r="AG103" i="14" s="1"/>
  <c r="AF15" i="14"/>
  <c r="AG15" i="14" s="1"/>
  <c r="AD15" i="14" s="1"/>
  <c r="AF102" i="14"/>
  <c r="AG102" i="14" s="1"/>
  <c r="AD102" i="14" s="1"/>
  <c r="AF27" i="14"/>
  <c r="AG27" i="14" s="1"/>
  <c r="AF99" i="14"/>
  <c r="AG99" i="14" s="1"/>
  <c r="AD99" i="14" s="1"/>
  <c r="AF11" i="14"/>
  <c r="AG11" i="14" s="1"/>
  <c r="AD11" i="14" s="1"/>
  <c r="AF7" i="14"/>
  <c r="AG7" i="14" s="1"/>
  <c r="AD7" i="14" s="1"/>
  <c r="AF19" i="14"/>
  <c r="AG19" i="14" s="1"/>
  <c r="AF56" i="14"/>
  <c r="AG56" i="14" s="1"/>
  <c r="AF86" i="14"/>
  <c r="AG86" i="14" s="1"/>
  <c r="AF46" i="14"/>
  <c r="AG46" i="14" s="1"/>
  <c r="AD46" i="14" s="1"/>
  <c r="AF52" i="14"/>
  <c r="AG52" i="14" s="1"/>
  <c r="AD52" i="14" s="1"/>
  <c r="AF94" i="14"/>
  <c r="AG94" i="14" s="1"/>
  <c r="AF8" i="14"/>
  <c r="AG8" i="14" s="1"/>
  <c r="AD8" i="14" s="1"/>
  <c r="AF96" i="14"/>
  <c r="AG96" i="14" s="1"/>
  <c r="AF77" i="14"/>
  <c r="AG77" i="14" s="1"/>
  <c r="AF93" i="14"/>
  <c r="AG93" i="14" s="1"/>
  <c r="AF21" i="14"/>
  <c r="AG21" i="14" s="1"/>
  <c r="AF28" i="14"/>
  <c r="AG28" i="14" s="1"/>
  <c r="AF83" i="14"/>
  <c r="AG83" i="14" s="1"/>
  <c r="AD83" i="14" s="1"/>
  <c r="AF89" i="14"/>
  <c r="AG89" i="14" s="1"/>
  <c r="AF39" i="14"/>
  <c r="AG39" i="14" s="1"/>
  <c r="AD39" i="14" s="1"/>
  <c r="AF45" i="14"/>
  <c r="AG45" i="14" s="1"/>
  <c r="AD45" i="14" s="1"/>
  <c r="AF87" i="14"/>
  <c r="AG87" i="14" s="1"/>
  <c r="AF72" i="14"/>
  <c r="AG72" i="14" s="1"/>
  <c r="AD72" i="14" s="1"/>
  <c r="AF76" i="14"/>
  <c r="AG76" i="14" s="1"/>
  <c r="AF88" i="14"/>
  <c r="AG88" i="14" s="1"/>
  <c r="AF55" i="14"/>
  <c r="AG55" i="14" s="1"/>
  <c r="AF91" i="14"/>
  <c r="AG91" i="14" s="1"/>
  <c r="AD91" i="14" s="1"/>
  <c r="AF98" i="14"/>
  <c r="AG98" i="14" s="1"/>
  <c r="AD98" i="14" s="1"/>
  <c r="AF107" i="14"/>
  <c r="AG107" i="14" s="1"/>
  <c r="AF61" i="14"/>
  <c r="AG61" i="14" s="1"/>
  <c r="AF97" i="14"/>
  <c r="AG97" i="14" s="1"/>
  <c r="AF38" i="14"/>
  <c r="AG38" i="14" s="1"/>
  <c r="AD38" i="14" s="1"/>
  <c r="AF80" i="14"/>
  <c r="AG80" i="14" s="1"/>
  <c r="AF36" i="14"/>
  <c r="AG36" i="14" s="1"/>
  <c r="AD36" i="14" s="1"/>
  <c r="AF4" i="14"/>
  <c r="O30" i="8"/>
  <c r="S30" i="8" s="1"/>
  <c r="C38" i="8" s="1"/>
  <c r="G38" i="8" s="1"/>
  <c r="K38" i="8" s="1"/>
  <c r="O38" i="8" s="1"/>
  <c r="K32" i="6"/>
  <c r="O32" i="6" s="1"/>
  <c r="S32" i="6" s="1"/>
  <c r="C40" i="6" s="1"/>
  <c r="G40" i="6" s="1"/>
  <c r="K40" i="6" s="1"/>
  <c r="O40" i="6" s="1"/>
  <c r="G5" i="4"/>
  <c r="K5" i="4" s="1"/>
  <c r="O5" i="4" s="1"/>
  <c r="S5" i="4" s="1"/>
  <c r="C13" i="4" s="1"/>
  <c r="G13" i="4" s="1"/>
  <c r="K13" i="4" s="1"/>
  <c r="O13" i="4" s="1"/>
  <c r="S13" i="4" s="1"/>
  <c r="C21" i="4" s="1"/>
  <c r="G21" i="4" s="1"/>
  <c r="K21" i="4" s="1"/>
  <c r="O21" i="4" s="1"/>
  <c r="S21" i="4" s="1"/>
  <c r="C29" i="4" s="1"/>
  <c r="G29" i="4" s="1"/>
  <c r="K29" i="4" s="1"/>
  <c r="O29" i="4" s="1"/>
  <c r="S29" i="4" s="1"/>
  <c r="X85" i="18" l="1"/>
  <c r="Y84" i="18"/>
  <c r="Y76" i="17"/>
  <c r="X77" i="17"/>
  <c r="Y17" i="16"/>
  <c r="X18" i="16"/>
  <c r="AG4" i="14"/>
  <c r="AD29" i="14" s="1"/>
  <c r="AF1" i="14"/>
  <c r="S5" i="3"/>
  <c r="C13" i="3" s="1"/>
  <c r="G13" i="3" s="1"/>
  <c r="K13" i="3" s="1"/>
  <c r="O13" i="3" s="1"/>
  <c r="S13" i="3" s="1"/>
  <c r="C21" i="3" s="1"/>
  <c r="G21" i="3" s="1"/>
  <c r="K21" i="3" s="1"/>
  <c r="O21" i="3" s="1"/>
  <c r="S21" i="3" s="1"/>
  <c r="C29" i="3" s="1"/>
  <c r="G29" i="3" s="1"/>
  <c r="K29" i="3" s="1"/>
  <c r="O29" i="3" s="1"/>
  <c r="S29" i="3" s="1"/>
  <c r="C37" i="3" s="1"/>
  <c r="G37" i="3" s="1"/>
  <c r="K37" i="3" s="1"/>
  <c r="O37" i="3" s="1"/>
  <c r="S37" i="3" s="1"/>
  <c r="X86" i="18" l="1"/>
  <c r="Y85" i="18"/>
  <c r="AD37" i="14"/>
  <c r="X78" i="17"/>
  <c r="Y77" i="17"/>
  <c r="AD31" i="14"/>
  <c r="X19" i="16"/>
  <c r="Y18" i="16"/>
  <c r="AD78" i="14"/>
  <c r="AD101" i="14"/>
  <c r="AD77" i="14"/>
  <c r="AD79" i="14"/>
  <c r="AD84" i="14"/>
  <c r="AD63" i="14"/>
  <c r="AD28" i="14"/>
  <c r="AD108" i="14"/>
  <c r="AD94" i="14"/>
  <c r="AD49" i="14"/>
  <c r="AD107" i="14"/>
  <c r="AD81" i="14"/>
  <c r="AD67" i="14"/>
  <c r="AD66" i="14"/>
  <c r="AD48" i="14"/>
  <c r="AD65" i="14"/>
  <c r="AD104" i="14"/>
  <c r="AD68" i="14"/>
  <c r="AD97" i="14"/>
  <c r="AD56" i="14"/>
  <c r="AD82" i="14"/>
  <c r="AD70" i="14"/>
  <c r="AD4" i="14"/>
  <c r="AD85" i="14"/>
  <c r="AD100" i="14"/>
  <c r="AD47" i="14"/>
  <c r="AD19" i="14"/>
  <c r="AD95" i="14"/>
  <c r="AD59" i="14"/>
  <c r="AD76" i="14"/>
  <c r="AD21" i="14"/>
  <c r="AD109" i="14"/>
  <c r="AD57" i="14"/>
  <c r="AD40" i="14"/>
  <c r="AD73" i="14"/>
  <c r="AD61" i="14"/>
  <c r="AD71" i="14"/>
  <c r="AD96" i="14"/>
  <c r="AD103" i="14"/>
  <c r="AD90" i="14"/>
  <c r="AD89" i="14"/>
  <c r="AD75" i="14"/>
  <c r="AD88" i="14"/>
  <c r="AD35" i="14"/>
  <c r="AD50" i="14"/>
  <c r="AD86" i="14"/>
  <c r="AD80" i="14"/>
  <c r="AD27" i="14"/>
  <c r="AD23" i="14"/>
  <c r="AD74" i="14"/>
  <c r="AD106" i="14"/>
  <c r="AD30" i="14"/>
  <c r="AD55" i="14"/>
  <c r="AD69" i="14"/>
  <c r="AD93" i="14"/>
  <c r="AD87" i="14"/>
  <c r="G5" i="1"/>
  <c r="K5" i="1" s="1"/>
  <c r="O5" i="1" s="1"/>
  <c r="S5" i="1" s="1"/>
  <c r="C13" i="1" s="1"/>
  <c r="G13" i="1" s="1"/>
  <c r="K13" i="1" s="1"/>
  <c r="O13" i="1" s="1"/>
  <c r="S13" i="1" s="1"/>
  <c r="C21" i="1" s="1"/>
  <c r="G21" i="1" s="1"/>
  <c r="K21" i="1" s="1"/>
  <c r="O21" i="1" s="1"/>
  <c r="S21" i="1" s="1"/>
  <c r="C29" i="1" s="1"/>
  <c r="G29" i="1" s="1"/>
  <c r="K29" i="1" s="1"/>
  <c r="O29" i="1" s="1"/>
  <c r="S29" i="1" s="1"/>
  <c r="C37" i="1" s="1"/>
  <c r="G37" i="1" s="1"/>
  <c r="K37" i="1" s="1"/>
  <c r="Y86" i="18" l="1"/>
  <c r="X87" i="18"/>
  <c r="X79" i="17"/>
  <c r="Y78" i="17"/>
  <c r="X20" i="16"/>
  <c r="Y19" i="16"/>
  <c r="Y4" i="14"/>
  <c r="Y15" i="14"/>
  <c r="Y21" i="14"/>
  <c r="Y29" i="14"/>
  <c r="Y25" i="14"/>
  <c r="Y20" i="14"/>
  <c r="Y17" i="14"/>
  <c r="Y10" i="14"/>
  <c r="Y5" i="14"/>
  <c r="Y6" i="14"/>
  <c r="Y19" i="14"/>
  <c r="Y13" i="14"/>
  <c r="Y16" i="14"/>
  <c r="Y28" i="14"/>
  <c r="Y8" i="14"/>
  <c r="Y27" i="14"/>
  <c r="Y14" i="14"/>
  <c r="Y26" i="14"/>
  <c r="Y12" i="14"/>
  <c r="Y18" i="14"/>
  <c r="Y24" i="14"/>
  <c r="Y7" i="14"/>
  <c r="Y23" i="14"/>
  <c r="Y11" i="14"/>
  <c r="Y22" i="14"/>
  <c r="Y9" i="14"/>
  <c r="Y30" i="14"/>
  <c r="X88" i="18" l="1"/>
  <c r="Y87" i="18"/>
  <c r="X80" i="17"/>
  <c r="Y79" i="17"/>
  <c r="Y20" i="16"/>
  <c r="X21" i="16"/>
  <c r="Y31" i="14"/>
  <c r="Y88" i="18" l="1"/>
  <c r="X89" i="18"/>
  <c r="X81" i="17"/>
  <c r="Y80" i="17"/>
  <c r="Y21" i="16"/>
  <c r="X22" i="16"/>
  <c r="Y32" i="14"/>
  <c r="X90" i="18" l="1"/>
  <c r="Y89" i="18"/>
  <c r="X82" i="17"/>
  <c r="Y81" i="17"/>
  <c r="X23" i="16"/>
  <c r="Y22" i="16"/>
  <c r="Y33" i="14"/>
  <c r="X91" i="18" l="1"/>
  <c r="Y90" i="18"/>
  <c r="X83" i="17"/>
  <c r="Y82" i="17"/>
  <c r="Y23" i="16"/>
  <c r="X24" i="16"/>
  <c r="Y34" i="14"/>
  <c r="Y91" i="18" l="1"/>
  <c r="X92" i="18"/>
  <c r="Y83" i="17"/>
  <c r="X84" i="17"/>
  <c r="X25" i="16"/>
  <c r="Y24" i="16"/>
  <c r="Y35" i="14"/>
  <c r="Y92" i="18" l="1"/>
  <c r="X93" i="18"/>
  <c r="X85" i="17"/>
  <c r="Y84" i="17"/>
  <c r="X26" i="16"/>
  <c r="Y25" i="16"/>
  <c r="Y36" i="14"/>
  <c r="Y93" i="18" l="1"/>
  <c r="X94" i="18"/>
  <c r="Y85" i="17"/>
  <c r="X86" i="17"/>
  <c r="Y26" i="16"/>
  <c r="X27" i="16"/>
  <c r="Y37" i="14"/>
  <c r="X95" i="18" l="1"/>
  <c r="Y94" i="18"/>
  <c r="Y86" i="17"/>
  <c r="X87" i="17"/>
  <c r="X28" i="16"/>
  <c r="Y27" i="16"/>
  <c r="Y38" i="14"/>
  <c r="Y95" i="18" l="1"/>
  <c r="X96" i="18"/>
  <c r="X88" i="17"/>
  <c r="Y87" i="17"/>
  <c r="X29" i="16"/>
  <c r="Y28" i="16"/>
  <c r="Y39" i="14"/>
  <c r="X97" i="18" l="1"/>
  <c r="Y96" i="18"/>
  <c r="Y88" i="17"/>
  <c r="X89" i="17"/>
  <c r="X30" i="16"/>
  <c r="Y29" i="16"/>
  <c r="Y40" i="14"/>
  <c r="X98" i="18" l="1"/>
  <c r="Y97" i="18"/>
  <c r="X90" i="17"/>
  <c r="Y89" i="17"/>
  <c r="X31" i="16"/>
  <c r="Y30" i="16"/>
  <c r="Y41" i="14"/>
  <c r="Y98" i="18" l="1"/>
  <c r="X99" i="18"/>
  <c r="X91" i="17"/>
  <c r="Y90" i="17"/>
  <c r="Y31" i="16"/>
  <c r="X32" i="16"/>
  <c r="Y42" i="14"/>
  <c r="X100" i="18" l="1"/>
  <c r="Y99" i="18"/>
  <c r="X92" i="17"/>
  <c r="Y91" i="17"/>
  <c r="X33" i="16"/>
  <c r="Y32" i="16"/>
  <c r="Y43" i="14"/>
  <c r="X101" i="18" l="1"/>
  <c r="Y100" i="18"/>
  <c r="X93" i="17"/>
  <c r="Y92" i="17"/>
  <c r="Y33" i="16"/>
  <c r="X34" i="16"/>
  <c r="Y44" i="14"/>
  <c r="X102" i="18" l="1"/>
  <c r="Y101" i="18"/>
  <c r="X94" i="17"/>
  <c r="Y93" i="17"/>
  <c r="Y34" i="16"/>
  <c r="X35" i="16"/>
  <c r="Y45" i="14"/>
  <c r="X103" i="18" l="1"/>
  <c r="Y102" i="18"/>
  <c r="X95" i="17"/>
  <c r="Y94" i="17"/>
  <c r="X36" i="16"/>
  <c r="Y35" i="16"/>
  <c r="Y46" i="14"/>
  <c r="Y103" i="18" l="1"/>
  <c r="X104" i="18"/>
  <c r="Y95" i="17"/>
  <c r="X96" i="17"/>
  <c r="X37" i="16"/>
  <c r="Y36" i="16"/>
  <c r="Y47" i="14"/>
  <c r="Y104" i="18" l="1"/>
  <c r="X105" i="18"/>
  <c r="X97" i="17"/>
  <c r="Y96" i="17"/>
  <c r="X38" i="16"/>
  <c r="Y37" i="16"/>
  <c r="Y48" i="14"/>
  <c r="Y105" i="18" l="1"/>
  <c r="X106" i="18"/>
  <c r="Y97" i="17"/>
  <c r="X98" i="17"/>
  <c r="Y38" i="16"/>
  <c r="X39" i="16"/>
  <c r="Y49" i="14"/>
  <c r="X107" i="18" l="1"/>
  <c r="Y106" i="18"/>
  <c r="Y98" i="17"/>
  <c r="X99" i="17"/>
  <c r="X40" i="16"/>
  <c r="Y39" i="16"/>
  <c r="Y50" i="14"/>
  <c r="X108" i="18" l="1"/>
  <c r="Y107" i="18"/>
  <c r="X100" i="17"/>
  <c r="Y99" i="17"/>
  <c r="X41" i="16"/>
  <c r="Y40" i="16"/>
  <c r="Y51" i="14"/>
  <c r="X109" i="18" l="1"/>
  <c r="Y108" i="18"/>
  <c r="Y100" i="17"/>
  <c r="X101" i="17"/>
  <c r="X42" i="16"/>
  <c r="Y41" i="16"/>
  <c r="Y52" i="14"/>
  <c r="X110" i="18" l="1"/>
  <c r="Y110" i="18" s="1"/>
  <c r="Y109" i="18"/>
  <c r="X102" i="17"/>
  <c r="Y101" i="17"/>
  <c r="X43" i="16"/>
  <c r="Y42" i="16"/>
  <c r="Y53" i="14"/>
  <c r="X103" i="17" l="1"/>
  <c r="Y102" i="17"/>
  <c r="X44" i="16"/>
  <c r="Y43" i="16"/>
  <c r="Y54" i="14"/>
  <c r="X104" i="17" l="1"/>
  <c r="Y103" i="17"/>
  <c r="X45" i="16"/>
  <c r="Y44" i="16"/>
  <c r="Y55" i="14"/>
  <c r="X105" i="17" l="1"/>
  <c r="Y104" i="17"/>
  <c r="Y45" i="16"/>
  <c r="X46" i="16"/>
  <c r="Y56" i="14"/>
  <c r="X106" i="17" l="1"/>
  <c r="Y105" i="17"/>
  <c r="X47" i="16"/>
  <c r="Y46" i="16"/>
  <c r="Y57" i="14"/>
  <c r="X107" i="17" l="1"/>
  <c r="Y106" i="17"/>
  <c r="X48" i="16"/>
  <c r="Y47" i="16"/>
  <c r="Y58" i="14"/>
  <c r="Y107" i="17" l="1"/>
  <c r="X108" i="17"/>
  <c r="Y48" i="16"/>
  <c r="X49" i="16"/>
  <c r="Y59" i="14"/>
  <c r="X109" i="17" l="1"/>
  <c r="Y108" i="17"/>
  <c r="X50" i="16"/>
  <c r="Y49" i="16"/>
  <c r="Y60" i="14"/>
  <c r="X110" i="17" l="1"/>
  <c r="Y110" i="17" s="1"/>
  <c r="Y109" i="17"/>
  <c r="Y50" i="16"/>
  <c r="X51" i="16"/>
  <c r="Y61" i="14"/>
  <c r="Y51" i="16" l="1"/>
  <c r="X52" i="16"/>
  <c r="Y62" i="14"/>
  <c r="X53" i="16" l="1"/>
  <c r="Y52" i="16"/>
  <c r="Y63" i="14"/>
  <c r="Y53" i="16" l="1"/>
  <c r="X54" i="16"/>
  <c r="Y64" i="14"/>
  <c r="X55" i="16" l="1"/>
  <c r="Y54" i="16"/>
  <c r="Y65" i="14"/>
  <c r="X56" i="16" l="1"/>
  <c r="Y55" i="16"/>
  <c r="Y66" i="14"/>
  <c r="Y56" i="16" l="1"/>
  <c r="X57" i="16"/>
  <c r="Y67" i="14"/>
  <c r="Y57" i="16" l="1"/>
  <c r="X58" i="16"/>
  <c r="Y68" i="14"/>
  <c r="X59" i="16" l="1"/>
  <c r="Y58" i="16"/>
  <c r="Y69" i="14"/>
  <c r="Y59" i="16" l="1"/>
  <c r="X60" i="16"/>
  <c r="Y70" i="14"/>
  <c r="X61" i="16" l="1"/>
  <c r="Y60" i="16"/>
  <c r="Y71" i="14"/>
  <c r="X62" i="16" l="1"/>
  <c r="Y61" i="16"/>
  <c r="Y72" i="14"/>
  <c r="Y62" i="16" l="1"/>
  <c r="X63" i="16"/>
  <c r="Y73" i="14"/>
  <c r="X64" i="16" l="1"/>
  <c r="Y63" i="16"/>
  <c r="Y74" i="14"/>
  <c r="X65" i="16" l="1"/>
  <c r="Y64" i="16"/>
  <c r="Y75" i="14"/>
  <c r="X66" i="16" l="1"/>
  <c r="Y65" i="16"/>
  <c r="Y76" i="14"/>
  <c r="X67" i="16" l="1"/>
  <c r="Y66" i="16"/>
  <c r="Y77" i="14"/>
  <c r="Y67" i="16" l="1"/>
  <c r="X68" i="16"/>
  <c r="Y78" i="14"/>
  <c r="X69" i="16" l="1"/>
  <c r="Y68" i="16"/>
  <c r="Y79" i="14"/>
  <c r="Y69" i="16" l="1"/>
  <c r="X70" i="16"/>
  <c r="Y80" i="14"/>
  <c r="Y70" i="16" l="1"/>
  <c r="X71" i="16"/>
  <c r="Y81" i="14"/>
  <c r="X72" i="16" l="1"/>
  <c r="Y71" i="16"/>
  <c r="Y82" i="14"/>
  <c r="X73" i="16" l="1"/>
  <c r="Y72" i="16"/>
  <c r="Y83" i="14"/>
  <c r="X74" i="16" l="1"/>
  <c r="Y73" i="16"/>
  <c r="Y84" i="14"/>
  <c r="Y74" i="16" l="1"/>
  <c r="X75" i="16"/>
  <c r="Y85" i="14"/>
  <c r="X76" i="16" l="1"/>
  <c r="Y75" i="16"/>
  <c r="Y86" i="14"/>
  <c r="Y76" i="16" l="1"/>
  <c r="X77" i="16"/>
  <c r="Y87" i="14"/>
  <c r="X78" i="16" l="1"/>
  <c r="Y77" i="16"/>
  <c r="Y88" i="14"/>
  <c r="X79" i="16" l="1"/>
  <c r="Y78" i="16"/>
  <c r="Y89" i="14"/>
  <c r="Y79" i="16" l="1"/>
  <c r="X80" i="16"/>
  <c r="Y90" i="14"/>
  <c r="X81" i="16" l="1"/>
  <c r="Y80" i="16"/>
  <c r="Y91" i="14"/>
  <c r="Y81" i="16" l="1"/>
  <c r="X82" i="16"/>
  <c r="Y92" i="14"/>
  <c r="Y82" i="16" l="1"/>
  <c r="X83" i="16"/>
  <c r="Y93" i="14"/>
  <c r="X84" i="16" l="1"/>
  <c r="Y83" i="16"/>
  <c r="Y94" i="14"/>
  <c r="X85" i="16" l="1"/>
  <c r="Y84" i="16"/>
  <c r="Y95" i="14"/>
  <c r="X86" i="16" l="1"/>
  <c r="Y85" i="16"/>
  <c r="Y96" i="14"/>
  <c r="Y86" i="16" l="1"/>
  <c r="X87" i="16"/>
  <c r="Y97" i="14"/>
  <c r="X88" i="16" l="1"/>
  <c r="Y87" i="16"/>
  <c r="Y98" i="14"/>
  <c r="Y88" i="16" l="1"/>
  <c r="X89" i="16"/>
  <c r="Y99" i="14"/>
  <c r="X90" i="16" l="1"/>
  <c r="Y89" i="16"/>
  <c r="Y100" i="14"/>
  <c r="X91" i="16" l="1"/>
  <c r="Y90" i="16"/>
  <c r="Y101" i="14"/>
  <c r="Y91" i="16" l="1"/>
  <c r="X92" i="16"/>
  <c r="Y102" i="14"/>
  <c r="X93" i="16" l="1"/>
  <c r="Y92" i="16"/>
  <c r="Y103" i="14"/>
  <c r="Y93" i="16" l="1"/>
  <c r="X94" i="16"/>
  <c r="Y104" i="14"/>
  <c r="Y94" i="16" l="1"/>
  <c r="X95" i="16"/>
  <c r="Y105" i="14"/>
  <c r="X96" i="16" l="1"/>
  <c r="Y95" i="16"/>
  <c r="Y106" i="14"/>
  <c r="X97" i="16" l="1"/>
  <c r="Y96" i="16"/>
  <c r="Y107" i="14"/>
  <c r="X98" i="16" l="1"/>
  <c r="Y97" i="16"/>
  <c r="Y108" i="14"/>
  <c r="Y98" i="16" l="1"/>
  <c r="X99" i="16"/>
  <c r="Y110" i="14"/>
  <c r="Y109" i="14"/>
  <c r="X100" i="16" l="1"/>
  <c r="Y99" i="16"/>
  <c r="Y100" i="16" l="1"/>
  <c r="X101" i="16"/>
  <c r="X102" i="16" l="1"/>
  <c r="Y101" i="16"/>
  <c r="X103" i="16" l="1"/>
  <c r="Y102" i="16"/>
  <c r="Y103" i="16" l="1"/>
  <c r="X104" i="16"/>
  <c r="X105" i="16" l="1"/>
  <c r="Y104" i="16"/>
  <c r="Y105" i="16" l="1"/>
  <c r="X106" i="16"/>
  <c r="Y106" i="16" l="1"/>
  <c r="X107" i="16"/>
  <c r="X108" i="16" l="1"/>
  <c r="Y107" i="16"/>
  <c r="X109" i="16" l="1"/>
  <c r="Y108" i="16"/>
  <c r="X110" i="16" l="1"/>
  <c r="Y110" i="16" s="1"/>
  <c r="Y109" i="16"/>
</calcChain>
</file>

<file path=xl/sharedStrings.xml><?xml version="1.0" encoding="utf-8"?>
<sst xmlns="http://schemas.openxmlformats.org/spreadsheetml/2006/main" count="2859" uniqueCount="741">
  <si>
    <t>구 분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</si>
  <si>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</si>
  <si>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</si>
  <si>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</si>
  <si>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</si>
  <si>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</si>
  <si>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지사명</t>
    <phoneticPr fontId="2" type="noConversion"/>
  </si>
  <si>
    <t>D-2</t>
    <phoneticPr fontId="2" type="noConversion"/>
  </si>
  <si>
    <t>D-1</t>
    <phoneticPr fontId="2" type="noConversion"/>
  </si>
  <si>
    <t>지점장</t>
    <phoneticPr fontId="2" type="noConversion"/>
  </si>
  <si>
    <t>인슈프라자 합동</t>
    <phoneticPr fontId="2" type="noConversion"/>
  </si>
  <si>
    <t>현대홈 경기 용인</t>
    <phoneticPr fontId="2" type="noConversion"/>
  </si>
  <si>
    <t>김혜미</t>
    <phoneticPr fontId="2" type="noConversion"/>
  </si>
  <si>
    <t>테마 등</t>
    <phoneticPr fontId="2" type="noConversion"/>
  </si>
  <si>
    <t>디딤돌 수원</t>
    <phoneticPr fontId="2" type="noConversion"/>
  </si>
  <si>
    <t>한솔 경기남부</t>
    <phoneticPr fontId="2" type="noConversion"/>
  </si>
  <si>
    <t>현대홈 경기 화성</t>
    <phoneticPr fontId="2" type="noConversion"/>
  </si>
  <si>
    <t>지금융 시온인스케어</t>
    <phoneticPr fontId="2" type="noConversion"/>
  </si>
  <si>
    <t>현대홈 경기 빅트리</t>
    <phoneticPr fontId="2" type="noConversion"/>
  </si>
  <si>
    <t>현대홈 경기 강동하남</t>
    <phoneticPr fontId="2" type="noConversion"/>
  </si>
  <si>
    <t>GA스타 베스트</t>
    <phoneticPr fontId="2" type="noConversion"/>
  </si>
  <si>
    <t>피플 VIP동탄(수원지점)</t>
    <phoneticPr fontId="2" type="noConversion"/>
  </si>
  <si>
    <t>엠금융 우리동탄</t>
    <phoneticPr fontId="2" type="noConversion"/>
  </si>
  <si>
    <t>엠금융 중식 / GA스타 베스트 송년회/한보금정도방문</t>
    <phoneticPr fontId="2" type="noConversion"/>
  </si>
  <si>
    <t>방문 : 인슈본점/KGA글로벌리더/인카이든가온/
현대홈위대한/디딤돌</t>
    <phoneticPr fontId="2" type="noConversion"/>
  </si>
  <si>
    <t>방문 : GAK해피오산/KGA오산/인카이든오산</t>
    <phoneticPr fontId="2" type="noConversion"/>
  </si>
  <si>
    <t>방문 : 삼성병점/인카가온누리</t>
    <phoneticPr fontId="2" type="noConversion"/>
  </si>
  <si>
    <t>방문 : 삼성미도/피플평택/GAK에셋마스터산타티시</t>
    <phoneticPr fontId="2" type="noConversion"/>
  </si>
  <si>
    <t>1주차</t>
    <phoneticPr fontId="2" type="noConversion"/>
  </si>
  <si>
    <t>2주차</t>
    <phoneticPr fontId="2" type="noConversion"/>
  </si>
  <si>
    <t>3주차</t>
    <phoneticPr fontId="2" type="noConversion"/>
  </si>
  <si>
    <t>4주차</t>
    <phoneticPr fontId="2" type="noConversion"/>
  </si>
  <si>
    <t>5주차</t>
    <phoneticPr fontId="2" type="noConversion"/>
  </si>
  <si>
    <t>현대홈 경기 강북(도봉)</t>
    <phoneticPr fontId="2" type="noConversion"/>
  </si>
  <si>
    <t>인카 다이렉트비전</t>
    <phoneticPr fontId="2" type="noConversion"/>
  </si>
  <si>
    <t>현대홈 경기 동탄</t>
    <phoneticPr fontId="2" type="noConversion"/>
  </si>
  <si>
    <t>삼성 미도</t>
    <phoneticPr fontId="2" type="noConversion"/>
  </si>
  <si>
    <t>인슈코아 평택</t>
    <phoneticPr fontId="2" type="noConversion"/>
  </si>
  <si>
    <t>인슈프라자 CNC(인천)</t>
    <phoneticPr fontId="2" type="noConversion"/>
  </si>
  <si>
    <t>현대홈 경기 인천</t>
    <phoneticPr fontId="2" type="noConversion"/>
  </si>
  <si>
    <t>인슈프라자 본교육</t>
    <phoneticPr fontId="2" type="noConversion"/>
  </si>
  <si>
    <t>신금플 쥬피터</t>
    <phoneticPr fontId="2" type="noConversion"/>
  </si>
  <si>
    <t>현대홈 경기 부천</t>
    <phoneticPr fontId="2" type="noConversion"/>
  </si>
  <si>
    <t>인카 이든(오산)</t>
    <phoneticPr fontId="2" type="noConversion"/>
  </si>
  <si>
    <t>인카 이든가온(수원)</t>
    <phoneticPr fontId="2" type="noConversion"/>
  </si>
  <si>
    <t>현대홈 경기 오산(2층)</t>
    <phoneticPr fontId="2" type="noConversion"/>
  </si>
  <si>
    <t>인카 가온누리</t>
    <phoneticPr fontId="2" type="noConversion"/>
  </si>
  <si>
    <t>에이플 동탄</t>
    <phoneticPr fontId="2" type="noConversion"/>
  </si>
  <si>
    <t>현대홈 경기 스타(시흥)</t>
    <phoneticPr fontId="2" type="noConversion"/>
  </si>
  <si>
    <t>한솔 강남</t>
    <phoneticPr fontId="2" type="noConversion"/>
  </si>
  <si>
    <t>더금융 명문</t>
    <phoneticPr fontId="2" type="noConversion"/>
  </si>
  <si>
    <t>더좋은 화성</t>
    <phoneticPr fontId="2" type="noConversion"/>
  </si>
  <si>
    <t>KGA글로벌리더</t>
    <phoneticPr fontId="2" type="noConversion"/>
  </si>
  <si>
    <t>피플 오산</t>
    <phoneticPr fontId="2" type="noConversion"/>
  </si>
  <si>
    <t>GAK에셋마스터산타티씨</t>
    <phoneticPr fontId="2" type="noConversion"/>
  </si>
  <si>
    <t>피플 평택</t>
    <phoneticPr fontId="2" type="noConversion"/>
  </si>
  <si>
    <r>
      <t>송년회 : KGA글로벌리더/</t>
    </r>
    <r>
      <rPr>
        <sz val="12"/>
        <color rgb="FFFF0000"/>
        <rFont val="현대해상 고딕 Light"/>
        <family val="3"/>
        <charset val="129"/>
      </rPr>
      <t>선물2개구매해야함</t>
    </r>
    <phoneticPr fontId="2" type="noConversion"/>
  </si>
  <si>
    <t>카라멜 하이(추가)</t>
    <phoneticPr fontId="2" type="noConversion"/>
  </si>
  <si>
    <t>GA스타 베스트(평택)</t>
    <phoneticPr fontId="2" type="noConversion"/>
  </si>
  <si>
    <t>아침부터 안성 한바퀴 돌기</t>
    <phoneticPr fontId="2" type="noConversion"/>
  </si>
  <si>
    <t>현대홈 경기 안산드림</t>
    <phoneticPr fontId="2" type="noConversion"/>
  </si>
  <si>
    <t>방문:현대홈안산(개별코드)/리더스에셋성공</t>
    <phoneticPr fontId="2" type="noConversion"/>
  </si>
  <si>
    <t>지점장 역량향상과정</t>
    <phoneticPr fontId="2" type="noConversion"/>
  </si>
  <si>
    <t>문대표 휴가 / 조대표 후가 / 이영태 대표 용인</t>
    <phoneticPr fontId="2" type="noConversion"/>
  </si>
  <si>
    <t>방문 : 에이플동탄/맥스인단비/
석식 : 내부교매</t>
    <phoneticPr fontId="2" type="noConversion"/>
  </si>
  <si>
    <t>방문 : 미생히어로라이프/ 14시 더금융명문/엠금융리더스
인카ks두레평택(고객업무요청 좀 잘 부탁드립니다)/프라임평택1,3,8/GAK다온드림/KGA엠디</t>
    <phoneticPr fontId="2" type="noConversion"/>
  </si>
  <si>
    <t>방문 : 카라멜하이/프라임평택8/인슈코아평택/</t>
    <phoneticPr fontId="2" type="noConversion"/>
  </si>
  <si>
    <t>방문 : 인슈프라자 CNC // 석식 : 신동아</t>
    <phoneticPr fontId="2" type="noConversion"/>
  </si>
  <si>
    <t>경기AM지점 교육일정표 1월</t>
    <phoneticPr fontId="2" type="noConversion"/>
  </si>
  <si>
    <t>현대홈 위대한</t>
    <phoneticPr fontId="2" type="noConversion"/>
  </si>
  <si>
    <t>GA스타 베스트 평택</t>
    <phoneticPr fontId="2" type="noConversion"/>
  </si>
  <si>
    <t>인카 다렉 비전</t>
    <phoneticPr fontId="2" type="noConversion"/>
  </si>
  <si>
    <t>GAK 해피오산</t>
    <phoneticPr fontId="2" type="noConversion"/>
  </si>
  <si>
    <t>에이플 동탄 GA테마(김동석)</t>
    <phoneticPr fontId="2" type="noConversion"/>
  </si>
  <si>
    <t>현대홈 경기 화성(오산3층)</t>
  </si>
  <si>
    <t>사람보고 결정하자 1월교육</t>
    <phoneticPr fontId="2" type="noConversion"/>
  </si>
  <si>
    <t>인슈 씨앤씨(인천)</t>
    <phoneticPr fontId="2" type="noConversion"/>
  </si>
  <si>
    <t>경기AM지점 교육일정표 2월</t>
    <phoneticPr fontId="2" type="noConversion"/>
  </si>
  <si>
    <t>중식 : 김재은대표 / 핫팩</t>
    <phoneticPr fontId="2" type="noConversion"/>
  </si>
  <si>
    <t>카라멜 안성</t>
    <phoneticPr fontId="2" type="noConversion"/>
  </si>
  <si>
    <t>카라멜 평택</t>
    <phoneticPr fontId="2" type="noConversion"/>
  </si>
  <si>
    <r>
      <t xml:space="preserve">방문 : </t>
    </r>
    <r>
      <rPr>
        <sz val="12"/>
        <color rgb="FFFF0000"/>
        <rFont val="현대해상 고딕 Light"/>
        <family val="3"/>
        <charset val="129"/>
      </rPr>
      <t>인슈프라자 분당(주소필요)</t>
    </r>
    <r>
      <rPr>
        <sz val="12"/>
        <color theme="1"/>
        <rFont val="현대해상 고딕 Light"/>
        <family val="3"/>
        <charset val="129"/>
      </rPr>
      <t xml:space="preserve"> // </t>
    </r>
    <r>
      <rPr>
        <sz val="12"/>
        <color rgb="FFFF0000"/>
        <rFont val="현대해상 고딕 Light"/>
        <family val="3"/>
        <charset val="129"/>
      </rPr>
      <t>인슈프라자 송년회</t>
    </r>
    <phoneticPr fontId="2" type="noConversion"/>
  </si>
  <si>
    <t>인카 가온누리</t>
  </si>
  <si>
    <t>경기AM지점 교육일정표 3월</t>
    <phoneticPr fontId="2" type="noConversion"/>
  </si>
  <si>
    <t>KGA 오산</t>
    <phoneticPr fontId="2" type="noConversion"/>
  </si>
  <si>
    <t>GA스타 베스트 수원</t>
    <phoneticPr fontId="2" type="noConversion"/>
  </si>
  <si>
    <t>이정아 // 글로벌 두레평택, GAK해피오산세교, 우리이슈맨오산, KGA오산, GAK해피오산, 현대홈빅트리, GA스타수원</t>
    <phoneticPr fontId="2" type="noConversion"/>
  </si>
  <si>
    <t>현대홈동탄, 피플오산, 한솔경기남부,인카스카이</t>
    <phoneticPr fontId="2" type="noConversion"/>
  </si>
  <si>
    <t>KGA 글로벌리더</t>
    <phoneticPr fontId="2" type="noConversion"/>
  </si>
  <si>
    <t>인카 이든</t>
    <phoneticPr fontId="2" type="noConversion"/>
  </si>
  <si>
    <t>경기AM지점 교육일정표 4월</t>
    <phoneticPr fontId="2" type="noConversion"/>
  </si>
  <si>
    <t>경기AM지점 교육일정표 5월</t>
    <phoneticPr fontId="2" type="noConversion"/>
  </si>
  <si>
    <t>현대홈쇼핑 본점 식사 같이 중식</t>
    <phoneticPr fontId="2" type="noConversion"/>
  </si>
  <si>
    <t>한화생명 아너스다옴</t>
    <phoneticPr fontId="2" type="noConversion"/>
  </si>
  <si>
    <t>삼금파 미도</t>
    <phoneticPr fontId="2" type="noConversion"/>
  </si>
  <si>
    <t>한보금 정도</t>
    <phoneticPr fontId="2" type="noConversion"/>
  </si>
  <si>
    <t>경기AM지점 교육일정표 12월</t>
    <phoneticPr fontId="2" type="noConversion"/>
  </si>
  <si>
    <t>더금융서비스 명문/시무식</t>
    <phoneticPr fontId="2" type="noConversion"/>
  </si>
  <si>
    <t>정지혜 매니저 kga오산 화요일 투입가능하다고함</t>
    <phoneticPr fontId="2" type="noConversion"/>
  </si>
  <si>
    <t>부장님 동반</t>
    <phoneticPr fontId="2" type="noConversion"/>
  </si>
  <si>
    <t>엑셀금융 평택</t>
    <phoneticPr fontId="2" type="noConversion"/>
  </si>
  <si>
    <t>GAK 산타티씨</t>
    <phoneticPr fontId="2" type="noConversion"/>
  </si>
  <si>
    <t>경기AM지점 교육일정표 6월</t>
    <phoneticPr fontId="2" type="noConversion"/>
  </si>
  <si>
    <t>10:30 에이플 동탄 GA테마(김동석) 중식 선정</t>
    <phoneticPr fontId="2" type="noConversion"/>
  </si>
  <si>
    <t>현대홈 경기 안산</t>
  </si>
  <si>
    <t>KGA마스타인스 / GAK산타티씨 / 인카가온누리 / 디딤돌 수원(몇시) / 지금융시온? / 미도 / 교육미진행원함(지사에서민망하다고) : 해피오산세교, 인카스카이 // KGA 글로벌 파비오, 경기광주 체크</t>
    <phoneticPr fontId="2" type="noConversion"/>
  </si>
  <si>
    <t>디딤돌에셋 수원</t>
    <phoneticPr fontId="2" type="noConversion"/>
  </si>
  <si>
    <t>GA스타 베스트 2차</t>
  </si>
  <si>
    <t>인슈프라자 분당</t>
    <phoneticPr fontId="2" type="noConversion"/>
  </si>
  <si>
    <t>교육 후 전산교육 진행(신인포함)</t>
    <phoneticPr fontId="2" type="noConversion"/>
  </si>
  <si>
    <t>신인매니저 교육/중식</t>
    <phoneticPr fontId="2" type="noConversion"/>
  </si>
  <si>
    <t>현대홈쇼핑 대표단 점심식사
GA스타 베스트 중식결제하기  // 
곽보미 - 김혜미(사옥) 신인트레이닝</t>
    <phoneticPr fontId="2" type="noConversion"/>
  </si>
  <si>
    <t xml:space="preserve">
곽보미 - 김혜미(사옥) 신인트레이닝</t>
    <phoneticPr fontId="2" type="noConversion"/>
  </si>
  <si>
    <t>오후 동탄방문(엠금융우리동탄/현홈경기동탄)
곽보미 - 김혜미(사옥) 신인트레이닝</t>
    <phoneticPr fontId="2" type="noConversion"/>
  </si>
  <si>
    <t>곽보미- 김지헤(GA스타)</t>
    <phoneticPr fontId="2" type="noConversion"/>
  </si>
  <si>
    <t>곽보미 - 정지혜(인슈프라자)</t>
    <phoneticPr fontId="2" type="noConversion"/>
  </si>
  <si>
    <t>곽보미 - 박미선(현대홈경기용인)</t>
    <phoneticPr fontId="2" type="noConversion"/>
  </si>
  <si>
    <t>곽보미 - 박미선(현대홈경기용인) OR 김혜미</t>
    <phoneticPr fontId="2" type="noConversion"/>
  </si>
  <si>
    <t>곽보미 - 정지혜(명문)</t>
    <phoneticPr fontId="2" type="noConversion"/>
  </si>
  <si>
    <t>매니저 컨퍼런스</t>
    <phoneticPr fontId="2" type="noConversion"/>
  </si>
  <si>
    <t>김혜미 검진
곽보미 - 김지혜(GA스타)</t>
    <phoneticPr fontId="2" type="noConversion"/>
  </si>
  <si>
    <t>인카 올파이낸설(서울)</t>
    <phoneticPr fontId="2" type="noConversion"/>
  </si>
  <si>
    <t>인슈프라자 합동조회</t>
  </si>
  <si>
    <t>더베스트 안산</t>
  </si>
  <si>
    <t>KGA 엠디</t>
    <phoneticPr fontId="2" type="noConversion"/>
  </si>
  <si>
    <t>더베스트 수원</t>
    <phoneticPr fontId="2" type="noConversion"/>
  </si>
  <si>
    <t>더베스트 청라(10-11명)</t>
    <phoneticPr fontId="2" type="noConversion"/>
  </si>
  <si>
    <r>
      <t>GA스타 김광진 육품화로 30만 결제 필요</t>
    </r>
    <r>
      <rPr>
        <b/>
        <sz val="12"/>
        <color rgb="FFFF0000"/>
        <rFont val="현대해상 고딕 Light"/>
        <family val="3"/>
        <charset val="129"/>
      </rPr>
      <t xml:space="preserve">
</t>
    </r>
    <phoneticPr fontId="2" type="noConversion"/>
  </si>
  <si>
    <t>중식 : GA스타 베스트 수원
곽보미 : 채널실장 교육</t>
    <phoneticPr fontId="2" type="noConversion"/>
  </si>
  <si>
    <t>에이플동탄 부장님동반(인사)</t>
    <phoneticPr fontId="2" type="noConversion"/>
  </si>
  <si>
    <r>
      <t xml:space="preserve">09시 GA스타 베스트 방문[소식지뿌리기]
</t>
    </r>
    <r>
      <rPr>
        <sz val="12"/>
        <color rgb="FFFF0000"/>
        <rFont val="현대해상 고딕 Light"/>
        <family val="3"/>
        <charset val="129"/>
      </rPr>
      <t>11시 인카 이든 개소식(오산) / 11:30 김광진 중식(부장님만)
개소식참석 후 동탄대리점 방문</t>
    </r>
    <r>
      <rPr>
        <sz val="12"/>
        <color theme="1"/>
        <rFont val="현대해상 고딕 Light"/>
        <family val="3"/>
        <charset val="129"/>
      </rPr>
      <t>(에이플/우리동탄/현대홈/한보)</t>
    </r>
    <phoneticPr fontId="2" type="noConversion"/>
  </si>
  <si>
    <t>현대홈 스타</t>
  </si>
  <si>
    <t>도봉 매니저 면접</t>
    <phoneticPr fontId="2" type="noConversion"/>
  </si>
  <si>
    <t>더베스트 이재명 수원</t>
    <phoneticPr fontId="2" type="noConversion"/>
  </si>
  <si>
    <t>더베스트 동탄</t>
    <phoneticPr fontId="2" type="noConversion"/>
  </si>
  <si>
    <t>더베스트 안양</t>
    <phoneticPr fontId="2" type="noConversion"/>
  </si>
  <si>
    <t>더베스트 향남</t>
    <phoneticPr fontId="2" type="noConversion"/>
  </si>
  <si>
    <t>현대홈 경기 강동하남(미사)</t>
  </si>
  <si>
    <t>GAKK 새파랑다옴</t>
    <phoneticPr fontId="2" type="noConversion"/>
  </si>
  <si>
    <t>인슈코아 평택 중식</t>
    <phoneticPr fontId="2" type="noConversion"/>
  </si>
  <si>
    <t>피플라이프 오산</t>
    <phoneticPr fontId="2" type="noConversion"/>
  </si>
  <si>
    <t>더베스트 이재명 인천</t>
    <phoneticPr fontId="2" type="noConversion"/>
  </si>
  <si>
    <t>곽미연 다이어리</t>
    <phoneticPr fontId="2" type="noConversion"/>
  </si>
  <si>
    <t>에이플 동탄</t>
  </si>
  <si>
    <t>현대홈 빅트리</t>
  </si>
  <si>
    <t>현대홈 경기 오산(오산2층)</t>
  </si>
  <si>
    <t>더베스트 오산</t>
  </si>
  <si>
    <t>김혜미 현대홈 화성 전산교육</t>
    <phoneticPr fontId="2" type="noConversion"/>
  </si>
  <si>
    <t>피플라이프 평택</t>
  </si>
  <si>
    <t>현대홈 강북</t>
    <phoneticPr fontId="2" type="noConversion"/>
  </si>
  <si>
    <t>현대홈 강동하남</t>
    <phoneticPr fontId="2" type="noConversion"/>
  </si>
  <si>
    <t>현대홈 화성</t>
  </si>
  <si>
    <t>현대홈 오산</t>
  </si>
  <si>
    <t>현대홈 인천</t>
    <phoneticPr fontId="2" type="noConversion"/>
  </si>
  <si>
    <t>더베스트 이재명 구미</t>
    <phoneticPr fontId="2" type="noConversion"/>
  </si>
  <si>
    <t>더베스트 김효제 안양</t>
    <phoneticPr fontId="2" type="noConversion"/>
  </si>
  <si>
    <t>더베스트 김효제 오산</t>
    <phoneticPr fontId="2" type="noConversion"/>
  </si>
  <si>
    <t>더베스트 김효제 동탄</t>
    <phoneticPr fontId="2" type="noConversion"/>
  </si>
  <si>
    <t>더베스트 이재명 평택(이미했음/취소가능한지확인)</t>
    <phoneticPr fontId="2" type="noConversion"/>
  </si>
  <si>
    <t>사전전화필수</t>
    <phoneticPr fontId="2" type="noConversion"/>
  </si>
  <si>
    <t>엠금융 안재범 3인방 중식</t>
    <phoneticPr fontId="2" type="noConversion"/>
  </si>
  <si>
    <r>
      <t xml:space="preserve">평택위주 방문  //  </t>
    </r>
    <r>
      <rPr>
        <b/>
        <sz val="12"/>
        <color rgb="FFFF0000"/>
        <rFont val="현대해상 고딕 Light"/>
        <family val="3"/>
        <charset val="129"/>
      </rPr>
      <t>현대홈오석태프로 석식</t>
    </r>
    <r>
      <rPr>
        <sz val="12"/>
        <color theme="1"/>
        <rFont val="현대해상 고딕 Light"/>
        <family val="3"/>
        <charset val="129"/>
      </rPr>
      <t xml:space="preserve">
곽보미 - 정지헤(더금융 명문)</t>
    </r>
    <phoneticPr fontId="2" type="noConversion"/>
  </si>
  <si>
    <t>GAK 해피오산 중식
곽보미 - 정지혜(해피오산)</t>
    <phoneticPr fontId="2" type="noConversion"/>
  </si>
  <si>
    <t>김지혜 - 정지혜(인슈프라자)
럭키 방문 김숙이대표 / 김양겨</t>
    <phoneticPr fontId="2" type="noConversion"/>
  </si>
  <si>
    <t>현대홈 빅트리</t>
    <phoneticPr fontId="2" type="noConversion"/>
  </si>
  <si>
    <t>KGA 마스타인스 파주</t>
  </si>
  <si>
    <t>더베스트 김효제 안산(팀장님)</t>
    <phoneticPr fontId="2" type="noConversion"/>
  </si>
  <si>
    <t>현대홈 동탄 지점장</t>
    <phoneticPr fontId="2" type="noConversion"/>
  </si>
  <si>
    <t>현대홈 강북 점심</t>
    <phoneticPr fontId="2" type="noConversion"/>
  </si>
  <si>
    <t>인슈프라자</t>
    <phoneticPr fontId="2" type="noConversion"/>
  </si>
  <si>
    <t>지금융 시온</t>
    <phoneticPr fontId="2" type="noConversion"/>
  </si>
  <si>
    <t>현대홈 용인</t>
    <phoneticPr fontId="2" type="noConversion"/>
  </si>
  <si>
    <t>GAK 산타티씨 가산</t>
  </si>
  <si>
    <t>더베스트 이재명 평택</t>
    <phoneticPr fontId="2" type="noConversion"/>
  </si>
  <si>
    <t>더베스트 이재명 고덕</t>
    <phoneticPr fontId="2" type="noConversion"/>
  </si>
  <si>
    <t>더베스트 김효제 서수원</t>
  </si>
  <si>
    <t>해결필요..,,</t>
    <phoneticPr fontId="2" type="noConversion"/>
  </si>
  <si>
    <t>신금플 주피터</t>
    <phoneticPr fontId="2" type="noConversion"/>
  </si>
  <si>
    <t>더베스트 이재명 인천(팀장님)</t>
    <phoneticPr fontId="2" type="noConversion"/>
  </si>
  <si>
    <t>GA스타 베스트 평택(중식)</t>
    <phoneticPr fontId="2" type="noConversion"/>
  </si>
  <si>
    <t>현대홈 안산</t>
  </si>
  <si>
    <t>더베스트 이재명 수원(광교)</t>
    <phoneticPr fontId="2" type="noConversion"/>
  </si>
  <si>
    <t>10시 ~ 11시 30분 인카이든 GA테마
안산에 들려서 꼭 죄송하다 이야기하기
내일은 팀장님이 오신다고.!</t>
    <phoneticPr fontId="2" type="noConversion"/>
  </si>
  <si>
    <t>GA스타 베스트 수원(중식)</t>
    <phoneticPr fontId="2" type="noConversion"/>
  </si>
  <si>
    <t>현대홈 부천</t>
    <phoneticPr fontId="2" type="noConversion"/>
  </si>
  <si>
    <t>더베스트 김효제 남양</t>
  </si>
  <si>
    <t>인슈프라자 씨앤씨</t>
    <phoneticPr fontId="2" type="noConversion"/>
  </si>
  <si>
    <t>인슈프라자 본점(팀장님교육)</t>
    <phoneticPr fontId="2" type="noConversion"/>
  </si>
  <si>
    <r>
      <rPr>
        <sz val="12"/>
        <color rgb="FFFF0000"/>
        <rFont val="현대해상 고딕 Light"/>
        <family val="3"/>
        <charset val="129"/>
      </rPr>
      <t>13:00 한보금 정도</t>
    </r>
    <r>
      <rPr>
        <sz val="12"/>
        <color theme="1"/>
        <rFont val="현대해상 고딕 Light"/>
        <family val="3"/>
        <charset val="129"/>
      </rPr>
      <t xml:space="preserve">
팀장님 교육가능
</t>
    </r>
    <r>
      <rPr>
        <sz val="12"/>
        <color rgb="FFFF0000"/>
        <rFont val="현대해상 고딕 Light"/>
        <family val="3"/>
        <charset val="129"/>
      </rPr>
      <t>더클래스보험(김진겸)개소식 11시</t>
    </r>
    <phoneticPr fontId="2" type="noConversion"/>
  </si>
  <si>
    <t>피플평택 / 엑셀평택 / 현대홈위대한 / 인슈코아 평택 / 프라임? / 산타티씨(수원) / 한솔경기남부</t>
    <phoneticPr fontId="2" type="noConversion"/>
  </si>
  <si>
    <t>GAK 새파랑다움</t>
    <phoneticPr fontId="2" type="noConversion"/>
  </si>
  <si>
    <t>KGA오산(취소)</t>
    <phoneticPr fontId="2" type="noConversion"/>
  </si>
  <si>
    <r>
      <t xml:space="preserve">팀장님…!?
</t>
    </r>
    <r>
      <rPr>
        <sz val="12"/>
        <color rgb="FFFF0000"/>
        <rFont val="현대해상 고딕 Light"/>
        <family val="3"/>
        <charset val="129"/>
      </rPr>
      <t>더금융명성(부천) 개소식(11시-14시) / 석식참여</t>
    </r>
    <phoneticPr fontId="2" type="noConversion"/>
  </si>
  <si>
    <t>현대홈 경기 안산</t>
    <phoneticPr fontId="2" type="noConversion"/>
  </si>
  <si>
    <t>더베스트 자체 세미나</t>
    <phoneticPr fontId="2" type="noConversion"/>
  </si>
  <si>
    <t>KGA 글로벌리더(팀장님)</t>
    <phoneticPr fontId="2" type="noConversion"/>
  </si>
  <si>
    <t>신금플 송탄 / 삼성미도 / 방문</t>
    <phoneticPr fontId="2" type="noConversion"/>
  </si>
  <si>
    <t>현대홈 경기 오산</t>
  </si>
  <si>
    <t>현대홈 경기 강북</t>
  </si>
  <si>
    <t>현대홈 경기 동탄</t>
  </si>
  <si>
    <t>GA스타 베스트 평택</t>
  </si>
  <si>
    <t>현대홈 경기 인천</t>
  </si>
  <si>
    <t>현대홈 경기 강동하남</t>
  </si>
  <si>
    <t>현대홈 스타(시흥)</t>
  </si>
  <si>
    <t>한솔 경기남부</t>
  </si>
  <si>
    <t>피플라이프 평택</t>
    <phoneticPr fontId="2" type="noConversion"/>
  </si>
  <si>
    <t>더베스트 김효제 안산</t>
    <phoneticPr fontId="2" type="noConversion"/>
  </si>
  <si>
    <t>더베스트 김효제 서수원</t>
    <phoneticPr fontId="2" type="noConversion"/>
  </si>
  <si>
    <t>더베스트 김효제 청라</t>
    <phoneticPr fontId="2" type="noConversion"/>
  </si>
  <si>
    <t>더베스트 김효제 남양</t>
    <phoneticPr fontId="2" type="noConversion"/>
  </si>
  <si>
    <t>평택</t>
    <phoneticPr fontId="2" type="noConversion"/>
  </si>
  <si>
    <t>오산</t>
    <phoneticPr fontId="2" type="noConversion"/>
  </si>
  <si>
    <t>동탄</t>
    <phoneticPr fontId="2" type="noConversion"/>
  </si>
  <si>
    <t>현대홈 동탄</t>
    <phoneticPr fontId="2" type="noConversion"/>
  </si>
  <si>
    <t>맥스인단비</t>
    <phoneticPr fontId="2" type="noConversion"/>
  </si>
  <si>
    <t>현대홈 오산</t>
    <phoneticPr fontId="2" type="noConversion"/>
  </si>
  <si>
    <t>현대홈 화성</t>
    <phoneticPr fontId="2" type="noConversion"/>
  </si>
  <si>
    <t>더베스트 오산</t>
    <phoneticPr fontId="2" type="noConversion"/>
  </si>
  <si>
    <t>인카이든 오산</t>
    <phoneticPr fontId="2" type="noConversion"/>
  </si>
  <si>
    <t>수원</t>
    <phoneticPr fontId="2" type="noConversion"/>
  </si>
  <si>
    <t>GAK케이라이프</t>
    <phoneticPr fontId="2" type="noConversion"/>
  </si>
  <si>
    <t>현대홈 경기 화성</t>
  </si>
  <si>
    <t>디딤돌에셋</t>
    <phoneticPr fontId="2" type="noConversion"/>
  </si>
  <si>
    <t>KGA글로벌리더에셋</t>
    <phoneticPr fontId="2" type="noConversion"/>
  </si>
  <si>
    <t>인천</t>
    <phoneticPr fontId="2" type="noConversion"/>
  </si>
  <si>
    <t>더베스트 이재명인천</t>
    <phoneticPr fontId="2" type="noConversion"/>
  </si>
  <si>
    <t>더베스으 김효제청라</t>
    <phoneticPr fontId="2" type="noConversion"/>
  </si>
  <si>
    <t>인슈프라자 합동조회</t>
    <phoneticPr fontId="2" type="noConversion"/>
  </si>
  <si>
    <t>인슈 씨앤씨</t>
  </si>
  <si>
    <t>더베스트 이재명 고덕</t>
  </si>
  <si>
    <t>신금플 송탄</t>
  </si>
  <si>
    <t>인슈프라자 씨앤씨</t>
  </si>
  <si>
    <t>2부교육</t>
    <phoneticPr fontId="2" type="noConversion"/>
  </si>
  <si>
    <t>시온인스케어</t>
    <phoneticPr fontId="2" type="noConversion"/>
  </si>
  <si>
    <t>쥬피터</t>
    <phoneticPr fontId="2" type="noConversion"/>
  </si>
  <si>
    <t>KGA마스타인스 파주</t>
    <phoneticPr fontId="2" type="noConversion"/>
  </si>
  <si>
    <t>신금플 쥬피터</t>
  </si>
  <si>
    <t>엠금융 코리아인슈</t>
    <phoneticPr fontId="2" type="noConversion"/>
  </si>
  <si>
    <t>프라임 평택8</t>
    <phoneticPr fontId="2" type="noConversion"/>
  </si>
  <si>
    <t>맥스인단비 중식</t>
    <phoneticPr fontId="2" type="noConversion"/>
  </si>
  <si>
    <t>`</t>
    <phoneticPr fontId="2" type="noConversion"/>
  </si>
  <si>
    <t>GAK 케이라이프</t>
    <phoneticPr fontId="2" type="noConversion"/>
  </si>
  <si>
    <t>인카 다이렉트 비전</t>
    <phoneticPr fontId="2" type="noConversion"/>
  </si>
  <si>
    <t>인카 이든 수원</t>
    <phoneticPr fontId="2" type="noConversion"/>
  </si>
  <si>
    <t>KGA오산</t>
    <phoneticPr fontId="2" type="noConversion"/>
  </si>
  <si>
    <t>시온인스케어 중식</t>
    <phoneticPr fontId="2" type="noConversion"/>
  </si>
  <si>
    <t>현대홈 경기 용인(테마)_사업부장님 맞이인사</t>
    <phoneticPr fontId="2" type="noConversion"/>
  </si>
  <si>
    <t>용인 테마교육 김동석연구원 사업부장님 맞이인사</t>
    <phoneticPr fontId="2" type="noConversion"/>
  </si>
  <si>
    <t>더베스트 이재명 수원(송근실이사)</t>
    <phoneticPr fontId="2" type="noConversion"/>
  </si>
  <si>
    <t>더베스트 연도대상
현대홈본사 석식</t>
    <phoneticPr fontId="2" type="noConversion"/>
  </si>
  <si>
    <t>더금융 대표단 6명 석식</t>
    <phoneticPr fontId="2" type="noConversion"/>
  </si>
  <si>
    <t>더베스트 김효제 동탄[채널실장]</t>
    <phoneticPr fontId="2" type="noConversion"/>
  </si>
  <si>
    <t xml:space="preserve">GAK 새파랑다움 </t>
    <phoneticPr fontId="2" type="noConversion"/>
  </si>
  <si>
    <t xml:space="preserve">GAK 산타티씨 구로 / 삼성병점 </t>
    <phoneticPr fontId="2" type="noConversion"/>
  </si>
  <si>
    <t>GAK 해피오산(정지혜동반)</t>
    <phoneticPr fontId="2" type="noConversion"/>
  </si>
  <si>
    <t>→ 교육 후 중식(간단하게)</t>
    <phoneticPr fontId="2" type="noConversion"/>
  </si>
  <si>
    <t>11일/13일 더금융 부천 교육</t>
    <phoneticPr fontId="2" type="noConversion"/>
  </si>
  <si>
    <t>GA스타 베스트 중식
평택 13시 30분</t>
    <phoneticPr fontId="2" type="noConversion"/>
  </si>
  <si>
    <t>GAK 다온드림투</t>
    <phoneticPr fontId="2" type="noConversion"/>
  </si>
  <si>
    <t>카라멜 평택</t>
  </si>
  <si>
    <t>카라멜 안성</t>
  </si>
  <si>
    <t>현대홈 부천</t>
  </si>
  <si>
    <t>선혜라 더금융 연구원</t>
    <phoneticPr fontId="2" type="noConversion"/>
  </si>
  <si>
    <t>현대홈 강북</t>
  </si>
  <si>
    <t>현대홈 용인</t>
  </si>
  <si>
    <t>현대홈 강동하남</t>
  </si>
  <si>
    <t>현대홈 동탄</t>
  </si>
  <si>
    <t>더좋은보험 화성</t>
    <phoneticPr fontId="2" type="noConversion"/>
  </si>
  <si>
    <t>인카 스카이</t>
    <phoneticPr fontId="2" type="noConversion"/>
  </si>
  <si>
    <t>더금융 부천(대전포함)</t>
    <phoneticPr fontId="2" type="noConversion"/>
  </si>
  <si>
    <t>GAK해피오산</t>
  </si>
  <si>
    <t>한주옥 중식</t>
    <phoneticPr fontId="2" type="noConversion"/>
  </si>
  <si>
    <t>,</t>
    <phoneticPr fontId="2" type="noConversion"/>
  </si>
  <si>
    <t>더베스트 김효제 수원</t>
    <phoneticPr fontId="2" type="noConversion"/>
  </si>
  <si>
    <t>더베스트 김효제 야유회 / 시온 중식</t>
    <phoneticPr fontId="2" type="noConversion"/>
  </si>
  <si>
    <t>트루 인수인계</t>
    <phoneticPr fontId="2" type="noConversion"/>
  </si>
  <si>
    <t>트루</t>
    <phoneticPr fontId="2" type="noConversion"/>
  </si>
  <si>
    <t>9일</t>
    <phoneticPr fontId="2" type="noConversion"/>
  </si>
  <si>
    <t>효명</t>
    <phoneticPr fontId="2" type="noConversion"/>
  </si>
  <si>
    <t>13일</t>
    <phoneticPr fontId="2" type="noConversion"/>
  </si>
  <si>
    <t>8일</t>
    <phoneticPr fontId="2" type="noConversion"/>
  </si>
  <si>
    <t>안성</t>
    <phoneticPr fontId="2" type="noConversion"/>
  </si>
  <si>
    <t>나머지는 스팟으로 잡음</t>
    <phoneticPr fontId="2" type="noConversion"/>
  </si>
  <si>
    <t>트루 효명</t>
    <phoneticPr fontId="2" type="noConversion"/>
  </si>
  <si>
    <t>트루 평택</t>
    <phoneticPr fontId="2" type="noConversion"/>
  </si>
  <si>
    <t>KGA 마스타인스 파주</t>
    <phoneticPr fontId="2" type="noConversion"/>
  </si>
  <si>
    <t>엠금융 리더스인슈</t>
  </si>
  <si>
    <t>에즈 마스타</t>
    <phoneticPr fontId="2" type="noConversion"/>
  </si>
  <si>
    <t>KGA마스타인스 수원</t>
    <phoneticPr fontId="2" type="noConversion"/>
  </si>
  <si>
    <t>한화생명 효승지점</t>
    <phoneticPr fontId="2" type="noConversion"/>
  </si>
  <si>
    <t>GA스타 베스트 평택(수원포)</t>
    <phoneticPr fontId="2" type="noConversion"/>
  </si>
  <si>
    <t>경기AM지점 교육일정표 7월</t>
    <phoneticPr fontId="2" type="noConversion"/>
  </si>
  <si>
    <t>엠금융 평안</t>
    <phoneticPr fontId="2" type="noConversion"/>
  </si>
  <si>
    <t>GAK 다성재무센터</t>
    <phoneticPr fontId="2" type="noConversion"/>
  </si>
  <si>
    <t>프라임 평택3</t>
    <phoneticPr fontId="2" type="noConversion"/>
  </si>
  <si>
    <t>글로벌 KS두레평택</t>
    <phoneticPr fontId="2" type="noConversion"/>
  </si>
  <si>
    <t>글로벌 베스트평택</t>
    <phoneticPr fontId="2" type="noConversion"/>
  </si>
  <si>
    <t>글로벌 KLI평택</t>
    <phoneticPr fontId="2" type="noConversion"/>
  </si>
  <si>
    <t>인슈랜드</t>
    <phoneticPr fontId="2" type="noConversion"/>
  </si>
  <si>
    <t>GAK 엠파이어 평택</t>
    <phoneticPr fontId="2" type="noConversion"/>
  </si>
  <si>
    <t>엠금융 코리아(하나로랜드,권승번)</t>
    <phoneticPr fontId="2" type="noConversion"/>
  </si>
  <si>
    <t>더금융 부천</t>
    <phoneticPr fontId="2" type="noConversion"/>
  </si>
  <si>
    <t>인슈프라자 로드샵</t>
    <phoneticPr fontId="2" type="noConversion"/>
  </si>
  <si>
    <t>엠금융 리더스인슈</t>
    <phoneticPr fontId="2" type="noConversion"/>
  </si>
  <si>
    <t>한화생명 효승</t>
    <phoneticPr fontId="2" type="noConversion"/>
  </si>
  <si>
    <t>엑셀 평택</t>
    <phoneticPr fontId="2" type="noConversion"/>
  </si>
  <si>
    <t>아너스 서정</t>
    <phoneticPr fontId="2" type="noConversion"/>
  </si>
  <si>
    <t>카라멜에셋</t>
    <phoneticPr fontId="2" type="noConversion"/>
  </si>
  <si>
    <t>우리인슈맨 소사벌</t>
    <phoneticPr fontId="2" type="noConversion"/>
  </si>
  <si>
    <t>우리슈맨 오산</t>
    <phoneticPr fontId="2" type="noConversion"/>
  </si>
  <si>
    <t>KGA 한주옥</t>
    <phoneticPr fontId="2" type="noConversion"/>
  </si>
  <si>
    <t>신금플 송탄</t>
    <phoneticPr fontId="2" type="noConversion"/>
  </si>
  <si>
    <t>한화 아너스동탄</t>
    <phoneticPr fontId="2" type="noConversion"/>
  </si>
  <si>
    <t>용인</t>
    <phoneticPr fontId="2" type="noConversion"/>
  </si>
  <si>
    <t>에즈 마스터</t>
    <phoneticPr fontId="2" type="noConversion"/>
  </si>
  <si>
    <t>더베스트 이재명수원</t>
    <phoneticPr fontId="2" type="noConversion"/>
  </si>
  <si>
    <t>인카 이든가온</t>
    <phoneticPr fontId="2" type="noConversion"/>
  </si>
  <si>
    <t>KGA 마스타인스</t>
    <phoneticPr fontId="2" type="noConversion"/>
  </si>
  <si>
    <t>봉담/남향/향남</t>
    <phoneticPr fontId="2" type="noConversion"/>
  </si>
  <si>
    <t>더베스트 남양</t>
    <phoneticPr fontId="2" type="noConversion"/>
  </si>
  <si>
    <t>안산/안양</t>
    <phoneticPr fontId="2" type="noConversion"/>
  </si>
  <si>
    <t>현대홈 안산</t>
    <phoneticPr fontId="2" type="noConversion"/>
  </si>
  <si>
    <t>더베스트 안산</t>
    <phoneticPr fontId="2" type="noConversion"/>
  </si>
  <si>
    <t>광명</t>
    <phoneticPr fontId="2" type="noConversion"/>
  </si>
  <si>
    <t>미생그로우</t>
    <phoneticPr fontId="2" type="noConversion"/>
  </si>
  <si>
    <t>안양</t>
    <phoneticPr fontId="2" type="noConversion"/>
  </si>
  <si>
    <t>안산</t>
    <phoneticPr fontId="2" type="noConversion"/>
  </si>
  <si>
    <t>부천</t>
    <phoneticPr fontId="2" type="noConversion"/>
  </si>
  <si>
    <t>파주</t>
    <phoneticPr fontId="2" type="noConversion"/>
  </si>
  <si>
    <t>의정부</t>
    <phoneticPr fontId="2" type="noConversion"/>
  </si>
  <si>
    <t>하남</t>
    <phoneticPr fontId="2" type="noConversion"/>
  </si>
  <si>
    <t>고덕</t>
    <phoneticPr fontId="2" type="noConversion"/>
  </si>
  <si>
    <t>경기AM지점 교육일정표 8월</t>
    <phoneticPr fontId="2" type="noConversion"/>
  </si>
  <si>
    <t>경기AM지점 교육일정표 9월</t>
    <phoneticPr fontId="2" type="noConversion"/>
  </si>
  <si>
    <t>트루 효명(당진)</t>
    <phoneticPr fontId="2" type="noConversion"/>
  </si>
  <si>
    <t>우리인슈맨 오산</t>
    <phoneticPr fontId="2" type="noConversion"/>
  </si>
  <si>
    <t>우리인슈맨 오산 방문</t>
    <phoneticPr fontId="2" type="noConversion"/>
  </si>
  <si>
    <t>혜미 오후반차</t>
  </si>
  <si>
    <t>신금플 GF송탄</t>
  </si>
  <si>
    <t>인슈프라자 당진 대리점 갔다오기</t>
    <phoneticPr fontId="2" type="noConversion"/>
  </si>
  <si>
    <t>한화생명 합정지점</t>
    <phoneticPr fontId="2" type="noConversion"/>
  </si>
  <si>
    <t>인슈씨앤씨</t>
  </si>
  <si>
    <t>글로벌 베스트평택(김영아)</t>
    <phoneticPr fontId="2" type="noConversion"/>
  </si>
  <si>
    <t>컨퍼런스</t>
    <phoneticPr fontId="2" type="noConversion"/>
  </si>
  <si>
    <t xml:space="preserve"> 케이라이프 / 삼성병점 / 엑셀평택 / 더베스트 아람 / 엑셀수원 </t>
    <phoneticPr fontId="2" type="noConversion"/>
  </si>
  <si>
    <t>트루 효명(송탄)</t>
    <phoneticPr fontId="2" type="noConversion"/>
  </si>
  <si>
    <t>김지혜 트루 동반(인사) / 트루안성인사/보물섬안성결제</t>
    <phoneticPr fontId="2" type="noConversion"/>
  </si>
  <si>
    <t>휴가</t>
    <phoneticPr fontId="2" type="noConversion"/>
  </si>
  <si>
    <t>오후반차</t>
    <phoneticPr fontId="2" type="noConversion"/>
  </si>
  <si>
    <t>현대홈 스타</t>
    <phoneticPr fontId="2" type="noConversion"/>
  </si>
  <si>
    <t>빅트리 점심</t>
    <phoneticPr fontId="2" type="noConversion"/>
  </si>
  <si>
    <t>트루 평택</t>
  </si>
  <si>
    <t>트루 효명</t>
  </si>
  <si>
    <t>GA스타베스트 중식</t>
    <phoneticPr fontId="2" type="noConversion"/>
  </si>
  <si>
    <t>인슈코아 평택(중식)</t>
    <phoneticPr fontId="2" type="noConversion"/>
  </si>
  <si>
    <t>미래에셋 그로우</t>
    <phoneticPr fontId="2" type="noConversion"/>
  </si>
  <si>
    <t>GAK 산타티씨 가산</t>
    <phoneticPr fontId="2" type="noConversion"/>
  </si>
  <si>
    <t>트루 안성(지원팀장님)</t>
  </si>
  <si>
    <t>현대홈 오산(지원팀장)</t>
    <phoneticPr fontId="2" type="noConversion"/>
  </si>
  <si>
    <t>KGA마스타인스 중식(수원)</t>
    <phoneticPr fontId="2" type="noConversion"/>
  </si>
  <si>
    <t>KGA마스타인스 구로</t>
    <phoneticPr fontId="2" type="noConversion"/>
  </si>
  <si>
    <t>트루 대성</t>
    <phoneticPr fontId="2" type="noConversion"/>
  </si>
  <si>
    <t>인슈프라자</t>
  </si>
  <si>
    <t>트루 당진</t>
    <phoneticPr fontId="2" type="noConversion"/>
  </si>
  <si>
    <t>GAK 해피오산(80만)</t>
    <phoneticPr fontId="2" type="noConversion"/>
  </si>
  <si>
    <t>인슈 씨앤씨(80만)</t>
    <phoneticPr fontId="2" type="noConversion"/>
  </si>
  <si>
    <t>KGA글로벌리더에셋(2백만)</t>
    <phoneticPr fontId="2" type="noConversion"/>
  </si>
  <si>
    <t>에이플동탄→엠금웅우리동탄→현대홈동탄</t>
    <phoneticPr fontId="2" type="noConversion"/>
  </si>
  <si>
    <t>인카 가온누리(부천)</t>
    <phoneticPr fontId="2" type="noConversion"/>
  </si>
  <si>
    <t>더베스트 서수원</t>
    <phoneticPr fontId="2" type="noConversion"/>
  </si>
  <si>
    <t>더베스트 청라</t>
    <phoneticPr fontId="2" type="noConversion"/>
  </si>
  <si>
    <t>현대홈 화성지사 석식</t>
    <phoneticPr fontId="2" type="noConversion"/>
  </si>
  <si>
    <t>과자도착</t>
    <phoneticPr fontId="2" type="noConversion"/>
  </si>
  <si>
    <t>지원팀장</t>
    <phoneticPr fontId="2" type="noConversion"/>
  </si>
  <si>
    <t>혜미</t>
    <phoneticPr fontId="2" type="noConversion"/>
  </si>
  <si>
    <t>매니저</t>
    <phoneticPr fontId="2" type="noConversion"/>
  </si>
  <si>
    <t>님</t>
    <phoneticPr fontId="2" type="noConversion"/>
  </si>
  <si>
    <t>이재윤</t>
    <phoneticPr fontId="2" type="noConversion"/>
  </si>
  <si>
    <t>KGA 마스타인스(수원)</t>
    <phoneticPr fontId="2" type="noConversion"/>
  </si>
  <si>
    <t>GAK 산타티씨(수원)</t>
    <phoneticPr fontId="2" type="noConversion"/>
  </si>
  <si>
    <t>KGA글로벌</t>
    <phoneticPr fontId="2" type="noConversion"/>
  </si>
  <si>
    <t>GAK 새파랑다옴</t>
  </si>
  <si>
    <t>GAK 새파랑다옴</t>
    <phoneticPr fontId="2" type="noConversion"/>
  </si>
  <si>
    <t>트루 안성</t>
  </si>
  <si>
    <t>트루 안성</t>
    <phoneticPr fontId="2" type="noConversion"/>
  </si>
  <si>
    <t>전속대리점 식사</t>
    <phoneticPr fontId="2" type="noConversion"/>
  </si>
  <si>
    <t>디딤돌 수원</t>
  </si>
  <si>
    <t>지금융 시온</t>
  </si>
  <si>
    <t>매니저님이랑 일정 교체?</t>
    <phoneticPr fontId="2" type="noConversion"/>
  </si>
  <si>
    <t>오석태 프로 석식</t>
    <phoneticPr fontId="2" type="noConversion"/>
  </si>
  <si>
    <t>화성 이정은 석식</t>
    <phoneticPr fontId="2" type="noConversion"/>
  </si>
  <si>
    <t>인슈코아 평택</t>
  </si>
  <si>
    <t>카라멜 평택 석식</t>
    <phoneticPr fontId="2" type="noConversion"/>
  </si>
  <si>
    <t>카라멜 안성 석식</t>
    <phoneticPr fontId="2" type="noConversion"/>
  </si>
  <si>
    <t>평택에서 올라오면서 우리동탄 방문하기</t>
    <phoneticPr fontId="2" type="noConversion"/>
  </si>
  <si>
    <t>중식 : 인슈프라자 창립18주년 행사참석</t>
    <phoneticPr fontId="2" type="noConversion"/>
  </si>
  <si>
    <t>가온에셋 중식</t>
    <phoneticPr fontId="2" type="noConversion"/>
  </si>
  <si>
    <r>
      <t>메타리치 리치골드</t>
    </r>
    <r>
      <rPr>
        <sz val="12"/>
        <color rgb="FFFF0000"/>
        <rFont val="현대해상 고딕 Light"/>
        <family val="3"/>
        <charset val="129"/>
      </rPr>
      <t>파주</t>
    </r>
    <phoneticPr fontId="2" type="noConversion"/>
  </si>
  <si>
    <t xml:space="preserve">파주 2개 / 한금서 / GAK케이라이프 / </t>
    <phoneticPr fontId="2" type="noConversion"/>
  </si>
  <si>
    <t>현대홈 위대한</t>
  </si>
  <si>
    <t>GA스타 벨류코어</t>
  </si>
  <si>
    <t>지점장</t>
  </si>
  <si>
    <t>인카 스카이</t>
  </si>
  <si>
    <t>더베스트 안양</t>
  </si>
  <si>
    <t>이재윤</t>
  </si>
  <si>
    <t>도선영</t>
    <phoneticPr fontId="2" type="noConversion"/>
  </si>
  <si>
    <t>GAK 해피오산(80만)</t>
  </si>
  <si>
    <t>트루 대성</t>
  </si>
  <si>
    <t>과자도착  // 광지니형 뵙고오기</t>
    <phoneticPr fontId="2" type="noConversion"/>
  </si>
  <si>
    <t>한보금 정도</t>
  </si>
  <si>
    <t>GA스타베스트 평택</t>
    <phoneticPr fontId="2" type="noConversion"/>
  </si>
  <si>
    <t xml:space="preserve">주상희? / 한금서 </t>
    <phoneticPr fontId="2" type="noConversion"/>
  </si>
  <si>
    <t>혜미매니저 인슈코아에서 꼭 밥먹고오기</t>
    <phoneticPr fontId="2" type="noConversion"/>
  </si>
  <si>
    <t>더금융 명문</t>
  </si>
  <si>
    <t>유퍼스트 오산</t>
    <phoneticPr fontId="2" type="noConversion"/>
  </si>
  <si>
    <t>가온에셋 중식 // 이재명 오후에 만나기</t>
    <phoneticPr fontId="2" type="noConversion"/>
  </si>
  <si>
    <t>인슈프라자 평택</t>
    <phoneticPr fontId="2" type="noConversion"/>
  </si>
  <si>
    <t>채널실장</t>
    <phoneticPr fontId="2" type="noConversion"/>
  </si>
  <si>
    <t>인카 가온에셋(수원)</t>
    <phoneticPr fontId="2" type="noConversion"/>
  </si>
  <si>
    <t>KGA글로벌리더에셋[채널실장]</t>
    <phoneticPr fontId="2" type="noConversion"/>
  </si>
  <si>
    <t>인슈프라자 신오산 장윤자 지점장 만나기</t>
    <phoneticPr fontId="2" type="noConversion"/>
  </si>
  <si>
    <t>ㄴ</t>
    <phoneticPr fontId="2" type="noConversion"/>
  </si>
  <si>
    <t>인슈코아평택?</t>
    <phoneticPr fontId="2" type="noConversion"/>
  </si>
  <si>
    <t>10;:30</t>
    <phoneticPr fontId="2" type="noConversion"/>
  </si>
  <si>
    <t>미생 그로우</t>
    <phoneticPr fontId="2" type="noConversion"/>
  </si>
  <si>
    <t>엠금융코리아인슈</t>
    <phoneticPr fontId="2" type="noConversion"/>
  </si>
  <si>
    <t>채널실장</t>
  </si>
  <si>
    <t>글로벌베스트</t>
    <phoneticPr fontId="2" type="noConversion"/>
  </si>
  <si>
    <t>인슈 씨앤씨</t>
    <phoneticPr fontId="2" type="noConversion"/>
  </si>
  <si>
    <t>미정
수정가능
이안에서</t>
    <phoneticPr fontId="2" type="noConversion"/>
  </si>
  <si>
    <t>이 안엔서 수정예정</t>
    <phoneticPr fontId="2" type="noConversion"/>
  </si>
  <si>
    <t>디딤돌에셋</t>
  </si>
  <si>
    <t>GAK 엠파 임환수</t>
    <phoneticPr fontId="2" type="noConversion"/>
  </si>
  <si>
    <t>GA스타 밸류코어</t>
    <phoneticPr fontId="2" type="noConversion"/>
  </si>
  <si>
    <t>밸류코어 중식</t>
    <phoneticPr fontId="2" type="noConversion"/>
  </si>
  <si>
    <t>인슈 로드샵 방문</t>
    <phoneticPr fontId="2" type="noConversion"/>
  </si>
  <si>
    <t xml:space="preserve"> 더좋은 / 엑셀평택 / 다온드림투 / 리더스인슈 / 다이렉트 / 엠디</t>
    <phoneticPr fontId="2" type="noConversion"/>
  </si>
  <si>
    <t>KGA엠디</t>
    <phoneticPr fontId="2" type="noConversion"/>
  </si>
  <si>
    <t>GA스타베스트 수원</t>
    <phoneticPr fontId="2" type="noConversion"/>
  </si>
  <si>
    <t>인슈 신오산</t>
    <phoneticPr fontId="2" type="noConversion"/>
  </si>
  <si>
    <t>송선아 병점 면접</t>
    <phoneticPr fontId="2" type="noConversion"/>
  </si>
  <si>
    <t>GA스타베스트</t>
    <phoneticPr fontId="2" type="noConversion"/>
  </si>
  <si>
    <t>인슈프라자 인천</t>
    <phoneticPr fontId="2" type="noConversion"/>
  </si>
  <si>
    <t>인슈씨앤씨</t>
    <phoneticPr fontId="2" type="noConversion"/>
  </si>
  <si>
    <t>식사</t>
    <phoneticPr fontId="2" type="noConversion"/>
  </si>
  <si>
    <t>GA스타베스트 2차</t>
    <phoneticPr fontId="2" type="noConversion"/>
  </si>
  <si>
    <t>김동석</t>
    <phoneticPr fontId="2" type="noConversion"/>
  </si>
  <si>
    <t>인슈프라자 본사</t>
    <phoneticPr fontId="2" type="noConversion"/>
  </si>
  <si>
    <t>상무님 회의</t>
    <phoneticPr fontId="2" type="noConversion"/>
  </si>
  <si>
    <t>더베스트 김효제 향남</t>
    <phoneticPr fontId="2" type="noConversion"/>
  </si>
  <si>
    <t>15시 30분 현대홈PD 미팅</t>
    <phoneticPr fontId="2" type="noConversion"/>
  </si>
  <si>
    <t>시온인스케어 식사</t>
    <phoneticPr fontId="2" type="noConversion"/>
  </si>
  <si>
    <t>GA스타 위드라이프코어</t>
    <phoneticPr fontId="2" type="noConversion"/>
  </si>
  <si>
    <t>지금웅 시온인스케어</t>
    <phoneticPr fontId="2" type="noConversion"/>
  </si>
  <si>
    <t>더베스트 청라</t>
  </si>
  <si>
    <t>인카 가온에셋</t>
    <phoneticPr fontId="2" type="noConversion"/>
  </si>
  <si>
    <t>원금융 MVP</t>
    <phoneticPr fontId="2" type="noConversion"/>
  </si>
  <si>
    <t>본부 대면컨퍼런스</t>
    <phoneticPr fontId="2" type="noConversion"/>
  </si>
  <si>
    <t>글로벌 베스트경인</t>
    <phoneticPr fontId="2" type="noConversion"/>
  </si>
  <si>
    <t>프라임 동탄2</t>
  </si>
  <si>
    <t>인슈프라자 신오산</t>
    <phoneticPr fontId="2" type="noConversion"/>
  </si>
  <si>
    <t>한솔 경기남부(인카)</t>
    <phoneticPr fontId="2" type="noConversion"/>
  </si>
  <si>
    <t>글로벌 대한라이프평택</t>
    <phoneticPr fontId="2" type="noConversion"/>
  </si>
  <si>
    <t>이재명 / 코리안인슈 / 인슈코아평택  / 더베아람 / GAK흥덕 / 한보금정도 / 싼타티씨?</t>
    <phoneticPr fontId="2" type="noConversion"/>
  </si>
  <si>
    <t>GAK해피오산 중식</t>
    <phoneticPr fontId="2" type="noConversion"/>
  </si>
  <si>
    <t>GAK 싼타티씨</t>
    <phoneticPr fontId="2" type="noConversion"/>
  </si>
  <si>
    <t>GAK해피오산</t>
    <phoneticPr fontId="2" type="noConversion"/>
  </si>
  <si>
    <t>인카스카이</t>
    <phoneticPr fontId="2" type="noConversion"/>
  </si>
  <si>
    <t>KGA 글로벌</t>
    <phoneticPr fontId="2" type="noConversion"/>
  </si>
  <si>
    <t>엠금융 코리안인슈</t>
    <phoneticPr fontId="2" type="noConversion"/>
  </si>
  <si>
    <t>엠금융 우리동탄 중식</t>
    <phoneticPr fontId="2" type="noConversion"/>
  </si>
  <si>
    <t>인카스카이 중식</t>
    <phoneticPr fontId="2" type="noConversion"/>
  </si>
  <si>
    <t>교육일정 조정필요</t>
    <phoneticPr fontId="2" type="noConversion"/>
  </si>
  <si>
    <t>재범이형 중식</t>
    <phoneticPr fontId="2" type="noConversion"/>
  </si>
  <si>
    <t>더베스트 이재명 평택</t>
  </si>
  <si>
    <t>트루 대성(취소예정)</t>
    <phoneticPr fontId="2" type="noConversion"/>
  </si>
  <si>
    <t>동탄 꼭 방문하기.!!!!!!!!</t>
    <phoneticPr fontId="2" type="noConversion"/>
  </si>
  <si>
    <t>김혜미 매니저 휴가 연락금지</t>
    <phoneticPr fontId="2" type="noConversion"/>
  </si>
  <si>
    <t>오산스마트방문</t>
    <phoneticPr fontId="2" type="noConversion"/>
  </si>
  <si>
    <t>에이플동탄</t>
    <phoneticPr fontId="2" type="noConversion"/>
  </si>
  <si>
    <t>7]3</t>
    <phoneticPr fontId="2" type="noConversion"/>
  </si>
  <si>
    <t>KGA 마스터 파주</t>
    <phoneticPr fontId="2" type="noConversion"/>
  </si>
  <si>
    <r>
      <t xml:space="preserve">박민정 중식 취소
</t>
    </r>
    <r>
      <rPr>
        <b/>
        <i/>
        <sz val="16"/>
        <color rgb="FFFF0000"/>
        <rFont val="현대해상 고딕 Light"/>
        <family val="3"/>
        <charset val="129"/>
      </rPr>
      <t>호동조 중식</t>
    </r>
    <phoneticPr fontId="2" type="noConversion"/>
  </si>
  <si>
    <t>더베스트 안양_도선영</t>
    <phoneticPr fontId="2" type="noConversion"/>
  </si>
  <si>
    <t>홍미향 대표 중식</t>
    <phoneticPr fontId="2" type="noConversion"/>
  </si>
  <si>
    <t>혜매매님 방문 요청 : 새파랑다옴?
삼성화재브라보평택 / 이재명고덕방문</t>
    <phoneticPr fontId="2" type="noConversion"/>
  </si>
  <si>
    <t>봉담 스카이/원금융/경기남부/</t>
    <phoneticPr fontId="2" type="noConversion"/>
  </si>
  <si>
    <t>삼금파 미도</t>
  </si>
  <si>
    <t>지점장 브라보평택 방문</t>
    <phoneticPr fontId="2" type="noConversion"/>
  </si>
  <si>
    <t>한화피플라이프 오산</t>
    <phoneticPr fontId="2" type="noConversion"/>
  </si>
  <si>
    <t>천시영 단장 세교정</t>
    <phoneticPr fontId="2" type="noConversion"/>
  </si>
  <si>
    <t>인슈프라자 본점</t>
    <phoneticPr fontId="2" type="noConversion"/>
  </si>
  <si>
    <t>지점장 연수원 교육</t>
    <phoneticPr fontId="2" type="noConversion"/>
  </si>
  <si>
    <t>더베 김효제 청라</t>
    <phoneticPr fontId="2" type="noConversion"/>
  </si>
  <si>
    <t>더베스트 김효제  서수원</t>
    <phoneticPr fontId="2" type="noConversion"/>
  </si>
  <si>
    <t>더베스트김효제 동탄</t>
    <phoneticPr fontId="2" type="noConversion"/>
  </si>
  <si>
    <t>길민수 대표님 / 유미경(1+1)
중식</t>
    <phoneticPr fontId="2" type="noConversion"/>
  </si>
  <si>
    <t>.</t>
    <phoneticPr fontId="2" type="noConversion"/>
  </si>
  <si>
    <t>경기AM지점 교육일정표 10월</t>
  </si>
  <si>
    <t>지사명</t>
  </si>
  <si>
    <t>D-2</t>
  </si>
  <si>
    <t>D-1</t>
  </si>
  <si>
    <t>경기AM지점 교육일정표 11월</t>
  </si>
  <si>
    <t>피플평택 생일 12월</t>
  </si>
  <si>
    <t>경기AM지점 교육일정표 12월</t>
  </si>
  <si>
    <t>부장님 천시영단장 식사</t>
    <phoneticPr fontId="2" type="noConversion"/>
  </si>
  <si>
    <t>(주)현대홈쇼핑 경기</t>
  </si>
  <si>
    <t>지에이스타금융서비스(주) 베스트금융지점</t>
  </si>
  <si>
    <t>인카금융서비스(주)가온누리</t>
  </si>
  <si>
    <t>㈜트루 효명지점</t>
  </si>
  <si>
    <t>더베스트금융서비스 제이케이인스파트너스화성</t>
  </si>
  <si>
    <t>한화피플라이프㈜평택</t>
  </si>
  <si>
    <t>(주)인슈프라자</t>
  </si>
  <si>
    <t>(주)엠금융서비스 우리동탄</t>
  </si>
  <si>
    <t>더금융서비스 명문지점</t>
  </si>
  <si>
    <t>지에이스타금융서비스(주) 베스트금융수원지점</t>
  </si>
  <si>
    <t>(주)카라멜에셋 하이</t>
  </si>
  <si>
    <t>지에이스타금융서비스(주) 밸류코어지점</t>
  </si>
  <si>
    <t>트루평택지점</t>
  </si>
  <si>
    <t>지에이코리아(주)해피오산</t>
  </si>
  <si>
    <t>(주)KGA에셋 글로벌리더에셋</t>
  </si>
  <si>
    <t>(주)에이플러스에셋동탄지점</t>
  </si>
  <si>
    <t>케이지에이에셋(주) 마스타인스지점</t>
  </si>
  <si>
    <t>지에이코리아(주) 에셋마스터오케이지점</t>
  </si>
  <si>
    <t>미래에셋금융서비스(주) 그로우지사</t>
  </si>
  <si>
    <t>더블유에셋(주) 오산스마트본부</t>
  </si>
  <si>
    <t>더베스트금융서비스(주) 인스파트너스경인지점</t>
  </si>
  <si>
    <t>(주)글로벌금융판매케이에스두레평택</t>
  </si>
  <si>
    <t>(주)글로벌금융판매 베스트경인</t>
  </si>
  <si>
    <t>인카금융서비스 주식회사 가온에셋지점</t>
  </si>
  <si>
    <t>삼성금융파트너스 미도</t>
  </si>
  <si>
    <t>(주)엠금융서비스 코리아인슈</t>
  </si>
  <si>
    <t>주식회사원금융서비스 엠브이피지점</t>
  </si>
  <si>
    <t>(주)인슈코아 평택지점</t>
  </si>
  <si>
    <t>지에이코리아(주) 에셋마스터마스타인스지점</t>
  </si>
  <si>
    <t>(주)인슈랜드</t>
  </si>
  <si>
    <t>인카금융서비스(주)스카이본부</t>
  </si>
  <si>
    <t>더베스트금융서비스 주식회사 아람지점</t>
  </si>
  <si>
    <t>프라임에셋(주) 평택3지점</t>
  </si>
  <si>
    <t>더베스트금융서비스 제이케이인스파트너스평택</t>
  </si>
  <si>
    <t>인카금융서비스(주) 이든금융지점</t>
  </si>
  <si>
    <t>트루안성</t>
  </si>
  <si>
    <t>더좋은보험금융(주)화성</t>
  </si>
  <si>
    <t>지에이코리아(주) 럭키지엠케이라이프지점</t>
  </si>
  <si>
    <t>경기수일</t>
  </si>
  <si>
    <t>프라임에셋(주)동탄2지점</t>
  </si>
  <si>
    <t>지에이스타금융서비스(주) 위드라이프코어지점</t>
  </si>
  <si>
    <t>프라임에셋(주) 평택8지점</t>
  </si>
  <si>
    <t>주식회사 디딤돌에셋</t>
  </si>
  <si>
    <t>(주)트루 대성지점</t>
  </si>
  <si>
    <t>케이지에이에셋(주) 엔플러스</t>
  </si>
  <si>
    <t>메가(주) 메가보험뚝딱</t>
  </si>
  <si>
    <t>트루 송탄중앙지점</t>
  </si>
  <si>
    <t>신한금융플러스 주식회사 쥬피터지점</t>
  </si>
  <si>
    <t>한화생명금융서비스수일지점</t>
  </si>
  <si>
    <t>지에이코리아(주)다온드림투</t>
  </si>
  <si>
    <t>(주)엠금융서비스 리더스인슈지점</t>
  </si>
  <si>
    <t>(주)엠금융서비스 인슈프라임지점</t>
  </si>
  <si>
    <t>인카금융서비스(주) 경기남부사업단</t>
  </si>
  <si>
    <t>(주)엠금융서비스 하나로프로인슈지점</t>
  </si>
  <si>
    <t>메가(주) 인슈에셋메가스타</t>
  </si>
  <si>
    <t>KGA에셋 글로벌리더 올케어지점</t>
  </si>
  <si>
    <t>더베스트금융서비스 제이케이인스파트너스동탄</t>
  </si>
  <si>
    <t>한화생명금융서비스효승지점</t>
  </si>
  <si>
    <t>(주)엠금융서비스 평택이노에셋지점</t>
  </si>
  <si>
    <t>(주)에즈금융서비스 마스터지사</t>
  </si>
  <si>
    <t>(주)엠금융서비스 하나로굿라이프지점</t>
  </si>
  <si>
    <t>유퍼스트보험마케팅(주) 오산지점</t>
  </si>
  <si>
    <t>한화생명금융서비스동탄티에프피지점</t>
  </si>
  <si>
    <t>인스파트너스에프엠</t>
  </si>
  <si>
    <t>한화생명금융서비스송북지점</t>
  </si>
  <si>
    <t>(주)엠금융서비스 하나로다정지점</t>
  </si>
  <si>
    <t>케이지에이에셋(주) 한우리지점</t>
  </si>
  <si>
    <t>㈜삼성화재금융서비스 브라보평택지점</t>
  </si>
  <si>
    <t>(주)아너스금융서비스 평택지점</t>
  </si>
  <si>
    <t>삼성금융파트너스 병점</t>
  </si>
  <si>
    <t>한화생명금융서비스평택지점</t>
  </si>
  <si>
    <t>한화피플라이프㈜오산</t>
  </si>
  <si>
    <t>지에이코리아(주)스타즈비전</t>
  </si>
  <si>
    <t>케이지에이에셋(주) 엠디지점</t>
  </si>
  <si>
    <t>(주)엠금융서비스 하나로레이크지점</t>
  </si>
  <si>
    <t>(주)현대홈쇼핑 에스콜</t>
  </si>
  <si>
    <t>한화생명금융서비스오산지점</t>
  </si>
  <si>
    <t>(주)엠금융서비스 하나로랜드마크인슈</t>
  </si>
  <si>
    <t>(주)삼성생명금융서비스 가송공도</t>
  </si>
  <si>
    <t>(주)글로벌금융판매 대한라이프평택</t>
  </si>
  <si>
    <t>한화생명금융서비스새평택지점</t>
  </si>
  <si>
    <t>한국보험금융(주)오산</t>
  </si>
  <si>
    <t>(주)엠금융서비스 베스트인슈지점</t>
  </si>
  <si>
    <t>주식회사 지금융코리아 시온인스케어</t>
  </si>
  <si>
    <t>지에이코리아(주) 새파랑다움지점</t>
  </si>
  <si>
    <t>한화생명금융서비스서정지점</t>
  </si>
  <si>
    <t>안함</t>
    <phoneticPr fontId="2" type="noConversion"/>
  </si>
  <si>
    <t>소모임교육</t>
    <phoneticPr fontId="2" type="noConversion"/>
  </si>
  <si>
    <t>더베스트 위드탑</t>
    <phoneticPr fontId="2" type="noConversion"/>
  </si>
  <si>
    <t>ㅇ</t>
    <phoneticPr fontId="2" type="noConversion"/>
  </si>
  <si>
    <t>트루 안성</t>
    <phoneticPr fontId="2" type="noConversion"/>
  </si>
  <si>
    <t>한화생명 단체교육(상품/전산)</t>
    <phoneticPr fontId="2" type="noConversion"/>
  </si>
  <si>
    <t>디딤돌에셋 수원</t>
    <phoneticPr fontId="2" type="noConversion"/>
  </si>
  <si>
    <t>글로베스트경인</t>
    <phoneticPr fontId="2" type="noConversion"/>
  </si>
  <si>
    <t>현대홈 빅트리 / 11:00 인카가온에셋</t>
    <phoneticPr fontId="2" type="noConversion"/>
  </si>
  <si>
    <t>더베스트 김효제 안산</t>
    <phoneticPr fontId="2" type="noConversion"/>
  </si>
  <si>
    <t>현대홈 부천 - 채널실장님</t>
    <phoneticPr fontId="2" type="noConversion"/>
  </si>
  <si>
    <t>현대홈 동탄 - 지원팀장님</t>
    <phoneticPr fontId="2" type="noConversion"/>
  </si>
  <si>
    <t>6일 동수원교육 진행 후 금산연수원 신인교육 진행</t>
    <phoneticPr fontId="2" type="noConversion"/>
  </si>
  <si>
    <r>
      <t>원금융 MVP /</t>
    </r>
    <r>
      <rPr>
        <b/>
        <i/>
        <sz val="16"/>
        <color rgb="FFFF0000"/>
        <rFont val="현대해상 고딕 Light"/>
        <family val="3"/>
        <charset val="129"/>
      </rPr>
      <t xml:space="preserve"> 11:30 인카스카이</t>
    </r>
    <phoneticPr fontId="2" type="noConversion"/>
  </si>
  <si>
    <t>현대홈 MCL 자체행사</t>
    <phoneticPr fontId="2" type="noConversion"/>
  </si>
  <si>
    <t>장현화 위드라이프 동반 / 동탄위주활동</t>
    <phoneticPr fontId="2" type="noConversion"/>
  </si>
  <si>
    <t>지점장 휴가</t>
    <phoneticPr fontId="2" type="noConversion"/>
  </si>
  <si>
    <t>지점장 휴가쓸건데 못쓸듯</t>
    <phoneticPr fontId="2" type="noConversion"/>
  </si>
  <si>
    <t>AM컨퍼런스</t>
    <phoneticPr fontId="2" type="noConversion"/>
  </si>
  <si>
    <t>현대홈 방송런칭(18시35분~1H)</t>
    <phoneticPr fontId="2" type="noConversion"/>
  </si>
  <si>
    <t>평택순회(브라보/더베고덕/피플/트루)</t>
    <phoneticPr fontId="2" type="noConversion"/>
  </si>
  <si>
    <r>
      <t>글로벌 후 수원순회(</t>
    </r>
    <r>
      <rPr>
        <sz val="16"/>
        <color rgb="FFFF0000"/>
        <rFont val="현대해상 고딕 Light"/>
        <family val="3"/>
        <charset val="129"/>
      </rPr>
      <t>GA스타출발중식참석</t>
    </r>
    <r>
      <rPr>
        <sz val="16"/>
        <color theme="1"/>
        <rFont val="현대해상 고딕 Light"/>
        <family val="3"/>
        <charset val="129"/>
      </rPr>
      <t>)</t>
    </r>
    <phoneticPr fontId="2" type="noConversion"/>
  </si>
  <si>
    <t>현대홈인천/청라/갈산/부평 순회</t>
    <phoneticPr fontId="2" type="noConversion"/>
  </si>
  <si>
    <t>셋 중 하나 지원팀장님 부탁하기..ㅎ</t>
    <phoneticPr fontId="2" type="noConversion"/>
  </si>
  <si>
    <t>카라멜 평택 / 카드필요</t>
    <phoneticPr fontId="2" type="noConversion"/>
  </si>
  <si>
    <t>엠금융 코리안인슈</t>
    <phoneticPr fontId="2" type="noConversion"/>
  </si>
  <si>
    <t>프라임동탄2</t>
    <phoneticPr fontId="2" type="noConversion"/>
  </si>
  <si>
    <r>
      <t xml:space="preserve">미래에셋 그로우 / </t>
    </r>
    <r>
      <rPr>
        <b/>
        <i/>
        <sz val="16"/>
        <color rgb="FFFF0000"/>
        <rFont val="현대해상 고딕 Light"/>
        <family val="3"/>
        <charset val="129"/>
      </rPr>
      <t>16:00</t>
    </r>
    <r>
      <rPr>
        <b/>
        <i/>
        <sz val="16"/>
        <color theme="1"/>
        <rFont val="현대해상 고딕 Light"/>
        <family val="3"/>
        <charset val="129"/>
      </rPr>
      <t xml:space="preserve"> </t>
    </r>
    <r>
      <rPr>
        <b/>
        <i/>
        <sz val="16"/>
        <color rgb="FFFF0000"/>
        <rFont val="현대해상 고딕 Light"/>
        <family val="3"/>
        <charset val="129"/>
      </rPr>
      <t>프라임동탄2 노원</t>
    </r>
    <phoneticPr fontId="2" type="noConversion"/>
  </si>
  <si>
    <t>건강검진 미루기</t>
    <phoneticPr fontId="2" type="noConversion"/>
  </si>
  <si>
    <t>피플라이프 평택금융</t>
    <phoneticPr fontId="2" type="noConversion"/>
  </si>
  <si>
    <t>지금융 시온인스케어</t>
    <phoneticPr fontId="2" type="noConversion"/>
  </si>
  <si>
    <t>↑ 지점장 참석</t>
    <phoneticPr fontId="2" type="noConversion"/>
  </si>
  <si>
    <t>더블유에셋 중식 후 교육</t>
    <phoneticPr fontId="2" type="noConversion"/>
  </si>
  <si>
    <r>
      <rPr>
        <b/>
        <sz val="16"/>
        <color theme="1"/>
        <rFont val="현대해상 고딕 Light"/>
        <family val="3"/>
        <charset val="129"/>
      </rPr>
      <t>인슈코아, 더베아람, 케이라이프, 동탄2 경기남부, 브라보평택, 대한라이프평택,</t>
    </r>
    <r>
      <rPr>
        <sz val="16"/>
        <color theme="1"/>
        <rFont val="현대해상 고딕 Light"/>
        <family val="3"/>
        <charset val="129"/>
      </rPr>
      <t xml:space="preserve"> </t>
    </r>
    <r>
      <rPr>
        <b/>
        <sz val="16"/>
        <color theme="1"/>
        <rFont val="현대해상 고딕 Light"/>
        <family val="3"/>
        <charset val="129"/>
      </rPr>
      <t>위대한</t>
    </r>
    <phoneticPr fontId="2" type="noConversion"/>
  </si>
  <si>
    <t>더베스트 이재명 구미</t>
  </si>
  <si>
    <t>트루당진</t>
  </si>
  <si>
    <t>인슈코아 평택</t>
    <phoneticPr fontId="2" type="noConversion"/>
  </si>
  <si>
    <t>GA스타베스트 수원 / 14:00 유퍼위드유</t>
    <phoneticPr fontId="2" type="noConversion"/>
  </si>
  <si>
    <t>인카 경기남부</t>
    <phoneticPr fontId="2" type="noConversion"/>
  </si>
  <si>
    <t>엠금융 우리동탄</t>
  </si>
  <si>
    <t>유퍼스트 위드유</t>
  </si>
  <si>
    <t>GAK오케이 한주옥</t>
  </si>
  <si>
    <t>12시에 원금융MVP 중식 후 교육</t>
    <phoneticPr fontId="2" type="noConversion"/>
  </si>
  <si>
    <t>피플라이프 평택 중식</t>
    <phoneticPr fontId="2" type="noConversion"/>
  </si>
  <si>
    <t>윌스병원</t>
    <phoneticPr fontId="2" type="noConversion"/>
  </si>
  <si>
    <t>신금플 GF송탄</t>
    <phoneticPr fontId="2" type="noConversion"/>
  </si>
  <si>
    <t>인슈프라자 인천</t>
  </si>
  <si>
    <t>현대홈 인천</t>
  </si>
  <si>
    <t>더베스트 김효제 청라</t>
  </si>
  <si>
    <t>더베스트 이재명 인천</t>
  </si>
  <si>
    <t>더베스트 김효제 향남</t>
  </si>
  <si>
    <t>더베스트 김효제 경기VIP</t>
  </si>
  <si>
    <t>더베스트 김효제 경기AS</t>
  </si>
  <si>
    <t>더베스트 김효제 오산</t>
  </si>
  <si>
    <t>엑셀금융서비스(주) 평택사업단</t>
  </si>
  <si>
    <t>엑셀금융서비스(주) 수원사업단</t>
  </si>
  <si>
    <t>더베스트 김효제 동탄</t>
  </si>
  <si>
    <t>더베스트 이재명 당진</t>
  </si>
  <si>
    <t>더베스트 김효제 경기프리미엄</t>
  </si>
  <si>
    <t>더베스트 이재명 수원</t>
  </si>
  <si>
    <t>엑셀금융서비스(주) 안성사업단</t>
  </si>
  <si>
    <t>에스앤에스보험대리점</t>
  </si>
  <si>
    <t>트루 효명당진</t>
    <phoneticPr fontId="2" type="noConversion"/>
  </si>
  <si>
    <t>프라임 동탄2</t>
    <phoneticPr fontId="2" type="noConversion"/>
  </si>
  <si>
    <t>프라임 동탄2노원</t>
    <phoneticPr fontId="2" type="noConversion"/>
  </si>
  <si>
    <t>프라임 화성1</t>
    <phoneticPr fontId="2" type="noConversion"/>
  </si>
  <si>
    <t>프라임 평택1</t>
    <phoneticPr fontId="2" type="noConversion"/>
  </si>
  <si>
    <t>GA스타 베스트평택</t>
    <phoneticPr fontId="2" type="noConversion"/>
  </si>
  <si>
    <t>GA스타 베스트수원</t>
    <phoneticPr fontId="2" type="noConversion"/>
  </si>
  <si>
    <t>유퍼스트 위드유</t>
    <phoneticPr fontId="2" type="noConversion"/>
  </si>
  <si>
    <t>삼금파 병점</t>
    <phoneticPr fontId="2" type="noConversion"/>
  </si>
  <si>
    <t>인카 스마트평택</t>
    <phoneticPr fontId="2" type="noConversion"/>
  </si>
  <si>
    <t>GAK 엠파이어평택</t>
    <phoneticPr fontId="2" type="noConversion"/>
  </si>
  <si>
    <t>GAK 다성재무</t>
    <phoneticPr fontId="2" type="noConversion"/>
  </si>
  <si>
    <t>GAK 해피오산세교</t>
    <phoneticPr fontId="2" type="noConversion"/>
  </si>
  <si>
    <t>GAK 엠파이어라이프엣지</t>
    <phoneticPr fontId="2" type="noConversion"/>
  </si>
  <si>
    <t>GAK 에셋마스터오케이</t>
    <phoneticPr fontId="2" type="noConversion"/>
  </si>
  <si>
    <t>GAK 에셋마스터마스타인스</t>
    <phoneticPr fontId="2" type="noConversion"/>
  </si>
  <si>
    <t>GAK 에셋마스터싼타티씨</t>
    <phoneticPr fontId="2" type="noConversion"/>
  </si>
  <si>
    <t>엠금융 프레시어스</t>
    <phoneticPr fontId="2" type="noConversion"/>
  </si>
  <si>
    <t>엠금융 더클래스</t>
    <phoneticPr fontId="2" type="noConversion"/>
  </si>
  <si>
    <t>메타리치 하이리치</t>
    <phoneticPr fontId="2" type="noConversion"/>
  </si>
  <si>
    <t>신금플 한길</t>
    <phoneticPr fontId="2" type="noConversion"/>
  </si>
  <si>
    <t>미래에셋 히어로</t>
    <phoneticPr fontId="2" type="noConversion"/>
  </si>
  <si>
    <t>더베스트 제우스경기법인</t>
    <phoneticPr fontId="2" type="noConversion"/>
  </si>
  <si>
    <t>더베스트 아람</t>
    <phoneticPr fontId="2" type="noConversion"/>
  </si>
  <si>
    <t>더블유에셋 오산</t>
    <phoneticPr fontId="2" type="noConversion"/>
  </si>
  <si>
    <t>엠금융 인슈프라임</t>
    <phoneticPr fontId="2" type="noConversion"/>
  </si>
  <si>
    <t>엠금융 보험플러스</t>
    <phoneticPr fontId="2" type="noConversion"/>
  </si>
  <si>
    <t>인카 스카이</t>
    <phoneticPr fontId="2" type="noConversion"/>
  </si>
  <si>
    <t>혜미연수원</t>
    <phoneticPr fontId="2" type="noConversion"/>
  </si>
  <si>
    <t>삼성화재 브라보</t>
    <phoneticPr fontId="2" type="noConversion"/>
  </si>
  <si>
    <t>지점장워크샵 및 상무님 회의</t>
    <phoneticPr fontId="2" type="noConversion"/>
  </si>
  <si>
    <t>점포장 화상 컨퍼런스</t>
    <phoneticPr fontId="2" type="noConversion"/>
  </si>
  <si>
    <t>경기사업부 컨퍼런스</t>
    <phoneticPr fontId="2" type="noConversion"/>
  </si>
  <si>
    <t>신규지사 체크하기</t>
    <phoneticPr fontId="2" type="noConversion"/>
  </si>
  <si>
    <t>프라임 동탄2</t>
    <phoneticPr fontId="2" type="noConversion"/>
  </si>
  <si>
    <t>혜미언니 한화생명금융 동수원 지원</t>
    <phoneticPr fontId="2" type="noConversion"/>
  </si>
  <si>
    <t>프라임 동탄2노원</t>
    <phoneticPr fontId="2" type="noConversion"/>
  </si>
  <si>
    <t>부장님 효명 식사(부장님단독)</t>
    <phoneticPr fontId="2" type="noConversion"/>
  </si>
  <si>
    <t>부장님 카라멜 장어(부장님단독)</t>
    <phoneticPr fontId="2" type="noConversion"/>
  </si>
  <si>
    <t>트루 안성 방문하고 오기</t>
    <phoneticPr fontId="2" type="noConversion"/>
  </si>
  <si>
    <t>더블유에셋 중식</t>
    <phoneticPr fontId="2" type="noConversion"/>
  </si>
  <si>
    <t>더블유에셋</t>
    <phoneticPr fontId="2" type="noConversion"/>
  </si>
  <si>
    <t>GA매니저 컨퍼런스</t>
    <phoneticPr fontId="2" type="noConversion"/>
  </si>
  <si>
    <t>인슈코아 평택</t>
    <phoneticPr fontId="2" type="noConversion"/>
  </si>
  <si>
    <t>미래에셋 그로우 남양주</t>
    <phoneticPr fontId="2" type="noConversion"/>
  </si>
  <si>
    <t>엠금융 코리안인슈</t>
    <phoneticPr fontId="2" type="noConversion"/>
  </si>
  <si>
    <t>인슈프라자 인천 → 취소</t>
    <phoneticPr fontId="2" type="noConversion"/>
  </si>
  <si>
    <t>본부후배들 식사</t>
    <phoneticPr fontId="2" type="noConversion"/>
  </si>
  <si>
    <t>계란사기</t>
    <phoneticPr fontId="2" type="noConversion"/>
  </si>
  <si>
    <t>GAK 해피오산</t>
  </si>
  <si>
    <t>삼성화재 보장연구소</t>
    <phoneticPr fontId="2" type="noConversion"/>
  </si>
  <si>
    <t>엑셀금융서비스(주) 동탄사업단</t>
    <phoneticPr fontId="2" type="noConversion"/>
  </si>
  <si>
    <t>지금융 시온 식사(혜미매님 카드가져가기)</t>
    <phoneticPr fontId="2" type="noConversion"/>
  </si>
  <si>
    <t>인카 경기남부</t>
  </si>
  <si>
    <t>GAK 에셋마스터오케이</t>
  </si>
  <si>
    <t>미래에셋 다산</t>
    <phoneticPr fontId="2" type="noConversion"/>
  </si>
  <si>
    <t>위드라이프코어 중식(홍미향대표)</t>
    <phoneticPr fontId="2" type="noConversion"/>
  </si>
  <si>
    <t>인카스카이 / 트루효명당진 / 트루대성 / 대한라이프평택 / 엑셀동탄베스트 / 삼성보장연구</t>
    <phoneticPr fontId="2" type="noConversion"/>
  </si>
  <si>
    <t>현대홈 동탄 중식 조율 중</t>
    <phoneticPr fontId="2" type="noConversion"/>
  </si>
  <si>
    <t>GA스타 위드라이프</t>
    <phoneticPr fontId="2" type="noConversion"/>
  </si>
  <si>
    <t>동수원 한화생명</t>
    <phoneticPr fontId="2" type="noConversion"/>
  </si>
  <si>
    <t>현대홈 본사 석식</t>
    <phoneticPr fontId="2" type="noConversion"/>
  </si>
  <si>
    <t>박미선 월차</t>
    <phoneticPr fontId="2" type="noConversion"/>
  </si>
  <si>
    <t>이슬 월차</t>
    <phoneticPr fontId="2" type="noConversion"/>
  </si>
  <si>
    <t>곽보미 월차</t>
    <phoneticPr fontId="2" type="noConversion"/>
  </si>
  <si>
    <t>김지혜 월차</t>
    <phoneticPr fontId="2" type="noConversion"/>
  </si>
  <si>
    <t>장현화 월차</t>
    <phoneticPr fontId="2" type="noConversion"/>
  </si>
  <si>
    <t>김혜미 W/S</t>
    <phoneticPr fontId="2" type="noConversion"/>
  </si>
  <si>
    <t>김희선 월차</t>
    <phoneticPr fontId="2" type="noConversion"/>
  </si>
  <si>
    <t>효명 강인환단장 중식</t>
    <phoneticPr fontId="2" type="noConversion"/>
  </si>
  <si>
    <t>2시간동안 명문신인특강</t>
    <phoneticPr fontId="2" type="noConversion"/>
  </si>
  <si>
    <t>디딤돌에셋 수원</t>
  </si>
  <si>
    <t>김혜미 반차</t>
    <phoneticPr fontId="2" type="noConversion"/>
  </si>
  <si>
    <t>김세희 월차</t>
    <phoneticPr fontId="2" type="noConversion"/>
  </si>
  <si>
    <t>GA스타 베스트수원</t>
  </si>
  <si>
    <t>마금파 넥스트</t>
    <phoneticPr fontId="2" type="noConversion"/>
  </si>
  <si>
    <t>더블유에셋 12시에 식사하고 교육</t>
    <phoneticPr fontId="2" type="noConversion"/>
  </si>
  <si>
    <t>글로벌 대한라이프</t>
    <phoneticPr fontId="2" type="noConversion"/>
  </si>
  <si>
    <t>AM교육파트 석식</t>
    <phoneticPr fontId="2" type="noConversion"/>
  </si>
  <si>
    <t>김기천 결제 // 원금융MVP 조용환 테마(2시)</t>
    <phoneticPr fontId="2" type="noConversion"/>
  </si>
  <si>
    <t>피플평택 최광혜테마(9시30분~)</t>
    <phoneticPr fontId="2" type="noConversion"/>
  </si>
  <si>
    <t>A4 위드라이프..</t>
    <phoneticPr fontId="2" type="noConversion"/>
  </si>
  <si>
    <t>A4 프라임동탄2</t>
    <phoneticPr fontId="2" type="noConversion"/>
  </si>
  <si>
    <t>현대홈 강북 얼굴보러가기</t>
    <phoneticPr fontId="2" type="noConversion"/>
  </si>
  <si>
    <t>더베스트 김효제 경기AS</t>
    <phoneticPr fontId="2" type="noConversion"/>
  </si>
  <si>
    <t>에이플 간식 / 더블유에셋 오산</t>
    <phoneticPr fontId="2" type="noConversion"/>
  </si>
  <si>
    <t>피플라이프 평택(테마)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</si>
</sst>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55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현대해상 고딕 Light"/>
      <family val="3"/>
      <charset val="129"/>
    </font>
    <font>
      <sz val="8"/>
      <name val="맑은 고딕"/>
      <family val="2"/>
      <charset val="129"/>
      <scheme val="minor"/>
    </font>
    <font>
      <b/>
      <sz val="12"/>
      <color theme="0"/>
      <name val="현대해상 고딕 Light"/>
      <family val="3"/>
      <charset val="129"/>
    </font>
    <font>
      <sz val="12"/>
      <color rgb="FFFF0000"/>
      <name val="현대해상 고딕 Light"/>
      <family val="3"/>
      <charset val="129"/>
    </font>
    <font>
      <sz val="14"/>
      <color theme="1"/>
      <name val="현대해상 고딕 Light"/>
      <family val="3"/>
      <charset val="129"/>
    </font>
    <font>
      <b/>
      <sz val="16"/>
      <color theme="1"/>
      <name val="현대해상 고딕 Light"/>
      <family val="3"/>
      <charset val="129"/>
    </font>
    <font>
      <sz val="60"/>
      <color theme="1"/>
      <name val="현대해상 고딕OTF Extra-bold"/>
      <family val="2"/>
      <charset val="129"/>
    </font>
    <font>
      <b/>
      <sz val="12"/>
      <color theme="1"/>
      <name val="현대해상 고딕 Light"/>
      <family val="3"/>
      <charset val="129"/>
    </font>
    <font>
      <b/>
      <sz val="12"/>
      <color rgb="FFFF0000"/>
      <name val="현대해상 고딕 Light"/>
      <family val="3"/>
      <charset val="129"/>
    </font>
    <font>
      <sz val="12"/>
      <color theme="5"/>
      <name val="현대해상 고딕 Light"/>
      <family val="3"/>
      <charset val="129"/>
    </font>
    <font>
      <strike/>
      <sz val="12"/>
      <color theme="1"/>
      <name val="현대해상 고딕 Light"/>
      <family val="3"/>
      <charset val="129"/>
    </font>
    <font>
      <sz val="12"/>
      <name val="현대해상 고딕 Light"/>
      <family val="3"/>
      <charset val="129"/>
    </font>
    <font>
      <i/>
      <sz val="12"/>
      <color theme="1"/>
      <name val="현대해상 고딕 Light"/>
      <family val="3"/>
      <charset val="129"/>
    </font>
    <font>
      <i/>
      <sz val="12"/>
      <color rgb="FFFF0000"/>
      <name val="현대해상 고딕 Light"/>
      <family val="3"/>
      <charset val="129"/>
    </font>
    <font>
      <sz val="11"/>
      <color theme="1"/>
      <name val="맑은 고딕"/>
      <family val="2"/>
      <charset val="129"/>
      <scheme val="minor"/>
    </font>
    <font>
      <sz val="16"/>
      <color theme="1"/>
      <name val="현대해상 고딕 Light"/>
      <family val="3"/>
      <charset val="129"/>
    </font>
    <font>
      <sz val="18"/>
      <color theme="1"/>
      <name val="현대해상 고딕 Light"/>
      <family val="3"/>
      <charset val="129"/>
    </font>
    <font>
      <sz val="14"/>
      <color rgb="FFFFFF00"/>
      <name val="현대해상 고딕 Light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color theme="0"/>
      <name val="현대해상 고딕 Light"/>
      <family val="3"/>
      <charset val="129"/>
    </font>
    <font>
      <sz val="48"/>
      <color theme="1"/>
      <name val="현대해상 고딕OTF Extra-bold"/>
      <family val="2"/>
      <charset val="129"/>
    </font>
    <font>
      <sz val="12"/>
      <color rgb="FFFFFF00"/>
      <name val="현대해상 고딕 Light"/>
      <family val="3"/>
      <charset val="129"/>
    </font>
    <font>
      <strike/>
      <sz val="12"/>
      <color rgb="FFFF0000"/>
      <name val="현대해상 고딕 Light"/>
      <family val="3"/>
      <charset val="129"/>
    </font>
    <font>
      <sz val="18"/>
      <color rgb="FFFF0000"/>
      <name val="현대해상 고딕 Light"/>
      <family val="3"/>
      <charset val="129"/>
    </font>
    <font>
      <b/>
      <i/>
      <sz val="16"/>
      <color theme="1"/>
      <name val="현대해상 고딕 Light"/>
      <family val="3"/>
      <charset val="129"/>
    </font>
    <font>
      <b/>
      <i/>
      <sz val="16"/>
      <color rgb="FFFF0000"/>
      <name val="현대해상 고딕 Light"/>
      <family val="3"/>
      <charset val="129"/>
    </font>
    <font>
      <b/>
      <i/>
      <sz val="16"/>
      <color rgb="FFFFFF00"/>
      <name val="현대해상 고딕 Light"/>
      <family val="3"/>
      <charset val="129"/>
    </font>
    <font>
      <b/>
      <i/>
      <sz val="28"/>
      <color rgb="FFFFFF00"/>
      <name val="현대해상 고딕 Light"/>
      <family val="3"/>
      <charset val="129"/>
    </font>
    <font>
      <b/>
      <sz val="16"/>
      <color rgb="FFFFFF00"/>
      <name val="현대해상 고딕 Light"/>
      <family val="3"/>
      <charset val="129"/>
    </font>
    <font>
      <strike/>
      <sz val="16"/>
      <color rgb="FFFF0000"/>
      <name val="현대해상 고딕 Light"/>
      <family val="3"/>
      <charset val="129"/>
    </font>
    <font>
      <b/>
      <i/>
      <sz val="18"/>
      <color rgb="FFFF0000"/>
      <name val="현대해상 고딕 Light"/>
      <family val="3"/>
      <charset val="129"/>
    </font>
    <font>
      <b/>
      <i/>
      <sz val="36"/>
      <color rgb="FFFFFF00"/>
      <name val="현대해상 고딕 Light"/>
      <family val="3"/>
      <charset val="129"/>
    </font>
    <font>
      <b/>
      <sz val="12"/>
      <color rgb="FFFFFFFF"/>
      <name val="현대해상 고딕 Light"/>
      <family val="3"/>
      <charset val="129"/>
    </font>
    <font>
      <sz val="12"/>
      <color rgb="FF000000"/>
      <name val="현대해상 고딕 Light"/>
      <family val="3"/>
      <charset val="129"/>
    </font>
    <font>
      <b/>
      <i/>
      <sz val="20"/>
      <color theme="1"/>
      <name val="현대해상 고딕 Light"/>
      <family val="3"/>
      <charset val="129"/>
    </font>
    <font>
      <sz val="16"/>
      <color rgb="FFFF0000"/>
      <name val="현대해상 고딕 Light"/>
      <family val="3"/>
      <charset val="129"/>
    </font>
    <font>
      <b/>
      <i/>
      <sz val="24"/>
      <color rgb="FFFFFF00"/>
      <name val="현대해상 고딕 Light"/>
      <family val="3"/>
      <charset val="129"/>
    </font>
    <font>
      <b/>
      <i/>
      <sz val="16"/>
      <color theme="0"/>
      <name val="현대해상 고딕 Light"/>
      <family val="3"/>
      <charset val="129"/>
    </font>
    <font>
      <i/>
      <sz val="16"/>
      <color theme="0"/>
      <name val="현대해상 고딕 Light"/>
      <family val="3"/>
      <charset val="129"/>
    </font>
    <font>
      <i/>
      <sz val="16"/>
      <color theme="1"/>
      <name val="현대해상 고딕 Light"/>
      <family val="3"/>
      <charset val="129"/>
    </font>
    <font>
      <b/>
      <i/>
      <sz val="14"/>
      <color theme="1"/>
      <name val="현대해상 고딕 Light"/>
      <family val="3"/>
      <charset val="129"/>
    </font>
    <font>
      <b/>
      <i/>
      <sz val="18"/>
      <color rgb="FFFFFF00"/>
      <name val="현대해상 고딕 Light"/>
      <family val="3"/>
      <charset val="129"/>
    </font>
    <font>
      <i/>
      <sz val="48"/>
      <color theme="1"/>
      <name val="현대해상 고딕OTF Extra-bold"/>
      <family val="2"/>
      <charset val="129"/>
    </font>
    <font>
      <b/>
      <i/>
      <strike/>
      <sz val="18"/>
      <color theme="0"/>
      <name val="현대해상 고딕 Light"/>
      <family val="3"/>
      <charset val="129"/>
    </font>
    <font>
      <i/>
      <sz val="18"/>
      <color theme="1"/>
      <name val="현대해상 고딕 Light"/>
      <family val="3"/>
      <charset val="129"/>
    </font>
    <font>
      <b/>
      <i/>
      <sz val="18"/>
      <color theme="0"/>
      <name val="현대해상 고딕 Light"/>
      <family val="3"/>
      <charset val="129"/>
    </font>
    <font>
      <sz val="18"/>
      <color theme="1"/>
      <name val="맑은 고딕"/>
      <family val="2"/>
      <charset val="129"/>
      <scheme val="minor"/>
    </font>
    <font>
      <b/>
      <i/>
      <sz val="18"/>
      <color theme="1"/>
      <name val="현대해상 고딕 Light"/>
      <family val="3"/>
      <charset val="129"/>
    </font>
    <font>
      <b/>
      <i/>
      <sz val="20"/>
      <color rgb="FFFF0000"/>
      <name val="현대해상 고딕 Light"/>
      <family val="3"/>
      <charset val="129"/>
    </font>
    <font>
      <b/>
      <sz val="20"/>
      <color theme="1"/>
      <name val="현대해상 고딕 Light"/>
      <family val="3"/>
      <charset val="129"/>
    </font>
    <font>
      <sz val="20"/>
      <color rgb="FFFF0000"/>
      <name val="현대해상 고딕 Light"/>
      <family val="3"/>
      <charset val="129"/>
    </font>
    <font>
      <b/>
      <sz val="16"/>
      <color theme="0"/>
      <name val="현대해상 고딕 Light"/>
      <family val="3"/>
      <charset val="129"/>
    </font>
    <font>
      <sz val="14"/>
      <color theme="0"/>
      <name val="현대해상 고딕 Light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0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bgColor theme="5" tint="0.79998168889431442"/>
      </patternFill>
    </fill>
    <fill>
      <patternFill patternType="solid">
        <fgColor theme="6" tint="0.79998168889431442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52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auto="1"/>
      </left>
      <right/>
      <top style="hair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auto="1"/>
      </left>
      <right style="hair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thin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/>
      <right style="thin">
        <color auto="1"/>
      </right>
      <top style="hair">
        <color theme="1" tint="0.499984740745262"/>
      </top>
      <bottom style="thin">
        <color auto="1"/>
      </bottom>
      <diagonal/>
    </border>
    <border>
      <left style="thin">
        <color auto="1"/>
      </left>
      <right/>
      <top style="hair">
        <color theme="1" tint="0.499984740745262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theme="1" tint="0.499984740745262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theme="1" tint="0.499984740745262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theme="1" tint="0.499984740745262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/>
      <top style="hair">
        <color theme="1" tint="0.499984740745262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theme="1" tint="0.499984740745262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/>
      <bottom style="hair">
        <color theme="1" tint="0.499984740745262"/>
      </bottom>
      <diagonal/>
    </border>
    <border>
      <left style="hair">
        <color auto="1"/>
      </left>
      <right style="hair">
        <color auto="1"/>
      </right>
      <top/>
      <bottom style="hair">
        <color theme="1" tint="0.499984740745262"/>
      </bottom>
      <diagonal/>
    </border>
    <border>
      <left style="thin">
        <color auto="1"/>
      </left>
      <right style="hair">
        <color auto="1"/>
      </right>
      <top/>
      <bottom style="hair">
        <color theme="1" tint="0.499984740745262"/>
      </bottom>
      <diagonal/>
    </border>
    <border>
      <left style="hair">
        <color auto="1"/>
      </left>
      <right style="thin">
        <color auto="1"/>
      </right>
      <top/>
      <bottom style="hair">
        <color theme="1" tint="0.499984740745262"/>
      </bottom>
      <diagonal/>
    </border>
    <border>
      <left style="hair">
        <color auto="1"/>
      </left>
      <right/>
      <top/>
      <bottom style="hair">
        <color theme="1" tint="0.499984740745262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theme="1" tint="0.499984740745262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/>
      <top/>
      <bottom style="double">
        <color auto="1"/>
      </bottom>
      <diagonal/>
    </border>
    <border>
      <left style="thick">
        <color rgb="FFFF0000"/>
      </left>
      <right style="hair">
        <color auto="1"/>
      </right>
      <top style="thick">
        <color rgb="FFFF0000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ck">
        <color rgb="FFFF0000"/>
      </top>
      <bottom style="double">
        <color auto="1"/>
      </bottom>
      <diagonal/>
    </border>
    <border>
      <left style="hair">
        <color auto="1"/>
      </left>
      <right style="thick">
        <color rgb="FFFF0000"/>
      </right>
      <top style="thick">
        <color rgb="FFFF0000"/>
      </top>
      <bottom style="double">
        <color auto="1"/>
      </bottom>
      <diagonal/>
    </border>
    <border>
      <left style="thick">
        <color rgb="FFFF0000"/>
      </left>
      <right style="hair">
        <color auto="1"/>
      </right>
      <top/>
      <bottom style="hair">
        <color theme="1" tint="0.499984740745262"/>
      </bottom>
      <diagonal/>
    </border>
    <border>
      <left style="hair">
        <color auto="1"/>
      </left>
      <right style="thick">
        <color rgb="FFFF0000"/>
      </right>
      <top/>
      <bottom style="hair">
        <color theme="1" tint="0.499984740745262"/>
      </bottom>
      <diagonal/>
    </border>
    <border>
      <left style="thick">
        <color rgb="FFFF0000"/>
      </left>
      <right style="hair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thick">
        <color rgb="FFFF0000"/>
      </right>
      <top style="hair">
        <color theme="1" tint="0.499984740745262"/>
      </top>
      <bottom style="hair">
        <color theme="1" tint="0.499984740745262"/>
      </bottom>
      <diagonal/>
    </border>
    <border>
      <left style="thick">
        <color rgb="FFFF0000"/>
      </left>
      <right style="hair">
        <color auto="1"/>
      </right>
      <top style="hair">
        <color theme="1" tint="0.499984740745262"/>
      </top>
      <bottom style="thin">
        <color auto="1"/>
      </bottom>
      <diagonal/>
    </border>
    <border>
      <left style="hair">
        <color auto="1"/>
      </left>
      <right style="thick">
        <color rgb="FFFF0000"/>
      </right>
      <top style="hair">
        <color theme="1" tint="0.499984740745262"/>
      </top>
      <bottom style="thin">
        <color auto="1"/>
      </bottom>
      <diagonal/>
    </border>
    <border>
      <left style="thick">
        <color rgb="FFFF0000"/>
      </left>
      <right/>
      <top style="thin">
        <color auto="1"/>
      </top>
      <bottom style="thin">
        <color auto="1"/>
      </bottom>
      <diagonal/>
    </border>
    <border>
      <left/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ck">
        <color rgb="FFFF0000"/>
      </right>
      <top style="thin">
        <color auto="1"/>
      </top>
      <bottom style="hair">
        <color auto="1"/>
      </bottom>
      <diagonal/>
    </border>
    <border>
      <left style="thick">
        <color rgb="FFFF0000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ck">
        <color rgb="FFFF0000"/>
      </right>
      <top style="hair">
        <color auto="1"/>
      </top>
      <bottom style="thin">
        <color auto="1"/>
      </bottom>
      <diagonal/>
    </border>
    <border>
      <left style="thick">
        <color rgb="FFFF0000"/>
      </left>
      <right style="hair">
        <color auto="1"/>
      </right>
      <top/>
      <bottom style="thick">
        <color rgb="FFFF0000"/>
      </bottom>
      <diagonal/>
    </border>
    <border>
      <left style="hair">
        <color auto="1"/>
      </left>
      <right style="hair">
        <color auto="1"/>
      </right>
      <top/>
      <bottom style="thick">
        <color rgb="FFFF0000"/>
      </bottom>
      <diagonal/>
    </border>
    <border>
      <left style="hair">
        <color auto="1"/>
      </left>
      <right style="thick">
        <color rgb="FFFF0000"/>
      </right>
      <top/>
      <bottom style="thick">
        <color rgb="FFFF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auto="1"/>
      </right>
      <top style="hair">
        <color theme="1" tint="0.499984740745262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ck">
        <color rgb="FFFF0000"/>
      </left>
      <right/>
      <top style="thick">
        <color rgb="FFFF0000"/>
      </top>
      <bottom style="double">
        <color auto="1"/>
      </bottom>
      <diagonal/>
    </border>
    <border>
      <left/>
      <right style="thick">
        <color rgb="FFFF0000"/>
      </right>
      <top style="thick">
        <color rgb="FFFF0000"/>
      </top>
      <bottom style="double">
        <color auto="1"/>
      </bottom>
      <diagonal/>
    </border>
    <border>
      <left style="thick">
        <color rgb="FFFF0000"/>
      </left>
      <right/>
      <top/>
      <bottom style="hair">
        <color theme="1" tint="0.499984740745262"/>
      </bottom>
      <diagonal/>
    </border>
    <border>
      <left/>
      <right style="thick">
        <color rgb="FFFF0000"/>
      </right>
      <top/>
      <bottom style="hair">
        <color theme="1" tint="0.499984740745262"/>
      </bottom>
      <diagonal/>
    </border>
    <border>
      <left/>
      <right style="thick">
        <color rgb="FFFF0000"/>
      </right>
      <top style="hair">
        <color theme="1" tint="0.499984740745262"/>
      </top>
      <bottom style="hair">
        <color theme="1" tint="0.499984740745262"/>
      </bottom>
      <diagonal/>
    </border>
    <border>
      <left/>
      <right style="thick">
        <color rgb="FFFF0000"/>
      </right>
      <top style="hair">
        <color theme="1" tint="0.499984740745262"/>
      </top>
      <bottom style="thin">
        <color auto="1"/>
      </bottom>
      <diagonal/>
    </border>
    <border>
      <left style="thick">
        <color rgb="FFFF0000"/>
      </left>
      <right/>
      <top style="thin">
        <color auto="1"/>
      </top>
      <bottom style="hair">
        <color auto="1"/>
      </bottom>
      <diagonal/>
    </border>
    <border>
      <left/>
      <right style="thick">
        <color rgb="FFFF0000"/>
      </right>
      <top style="thin">
        <color auto="1"/>
      </top>
      <bottom style="hair">
        <color auto="1"/>
      </bottom>
      <diagonal/>
    </border>
    <border>
      <left style="thick">
        <color rgb="FFFF0000"/>
      </left>
      <right/>
      <top style="hair">
        <color auto="1"/>
      </top>
      <bottom style="thin">
        <color auto="1"/>
      </bottom>
      <diagonal/>
    </border>
    <border>
      <left/>
      <right style="thick">
        <color rgb="FFFF0000"/>
      </right>
      <top style="hair">
        <color auto="1"/>
      </top>
      <bottom style="thin">
        <color auto="1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/>
      <bottom style="thin">
        <color auto="1"/>
      </bottom>
      <diagonal/>
    </border>
    <border>
      <left style="thick">
        <color rgb="FFFF0000"/>
      </left>
      <right/>
      <top style="hair">
        <color theme="1" tint="0.499984740745262"/>
      </top>
      <bottom style="hair">
        <color theme="1"/>
      </bottom>
      <diagonal/>
    </border>
    <border>
      <left style="hair">
        <color auto="1"/>
      </left>
      <right style="hair">
        <color auto="1"/>
      </right>
      <top style="hair">
        <color theme="1" tint="0.499984740745262"/>
      </top>
      <bottom style="hair">
        <color theme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/>
      <bottom style="hair">
        <color theme="1" tint="0.499984740745262"/>
      </bottom>
      <diagonal/>
    </border>
    <border>
      <left style="thick">
        <color rgb="FFFF0000"/>
      </left>
      <right/>
      <top style="thick">
        <color rgb="FFFF0000"/>
      </top>
      <bottom style="hair">
        <color theme="1" tint="0.499984740745262"/>
      </bottom>
      <diagonal/>
    </border>
    <border>
      <left style="hair">
        <color auto="1"/>
      </left>
      <right style="hair">
        <color auto="1"/>
      </right>
      <top style="thick">
        <color rgb="FFFF0000"/>
      </top>
      <bottom style="hair">
        <color theme="1" tint="0.499984740745262"/>
      </bottom>
      <diagonal/>
    </border>
    <border>
      <left/>
      <right style="thick">
        <color rgb="FFFF0000"/>
      </right>
      <top style="thick">
        <color rgb="FFFF0000"/>
      </top>
      <bottom style="hair">
        <color theme="1" tint="0.499984740745262"/>
      </bottom>
      <diagonal/>
    </border>
    <border>
      <left style="thick">
        <color rgb="FFFF0000"/>
      </left>
      <right/>
      <top style="hair">
        <color theme="1" tint="0.499984740745262"/>
      </top>
      <bottom style="hair">
        <color theme="1" tint="0.499984740745262"/>
      </bottom>
      <diagonal/>
    </border>
    <border>
      <left style="thick">
        <color rgb="FFFF0000"/>
      </left>
      <right/>
      <top style="hair">
        <color theme="1" tint="0.499984740745262"/>
      </top>
      <bottom style="thin">
        <color auto="1"/>
      </bottom>
      <diagonal/>
    </border>
    <border>
      <left style="thick">
        <color rgb="FFFF0000"/>
      </left>
      <right/>
      <top style="hair">
        <color auto="1"/>
      </top>
      <bottom style="thick">
        <color rgb="FFFF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rgb="FFFF0000"/>
      </bottom>
      <diagonal/>
    </border>
    <border>
      <left/>
      <right style="thick">
        <color rgb="FFFF0000"/>
      </right>
      <top style="hair">
        <color auto="1"/>
      </top>
      <bottom style="thick">
        <color rgb="FFFF0000"/>
      </bottom>
      <diagonal/>
    </border>
    <border>
      <left style="thick">
        <color rgb="FFFF0000"/>
      </left>
      <right style="hair">
        <color auto="1"/>
      </right>
      <top style="thick">
        <color rgb="FFFF0000"/>
      </top>
      <bottom style="hair">
        <color theme="1" tint="0.499984740745262"/>
      </bottom>
      <diagonal/>
    </border>
    <border>
      <left style="hair">
        <color auto="1"/>
      </left>
      <right style="thick">
        <color rgb="FFFF0000"/>
      </right>
      <top style="thick">
        <color rgb="FFFF0000"/>
      </top>
      <bottom style="hair">
        <color theme="1" tint="0.499984740745262"/>
      </bottom>
      <diagonal/>
    </border>
    <border>
      <left style="thick">
        <color rgb="FFFF0000"/>
      </left>
      <right style="hair">
        <color auto="1"/>
      </right>
      <top style="hair">
        <color auto="1"/>
      </top>
      <bottom style="thick">
        <color rgb="FFFF0000"/>
      </bottom>
      <diagonal/>
    </border>
    <border>
      <left style="hair">
        <color auto="1"/>
      </left>
      <right style="thick">
        <color rgb="FFFF0000"/>
      </right>
      <top style="hair">
        <color auto="1"/>
      </top>
      <bottom style="thick">
        <color rgb="FFFF0000"/>
      </bottom>
      <diagonal/>
    </border>
    <border>
      <left style="thick">
        <color rgb="FFFF0000"/>
      </left>
      <right style="hair">
        <color auto="1"/>
      </right>
      <top style="thick">
        <color rgb="FFFF0000"/>
      </top>
      <bottom/>
      <diagonal/>
    </border>
    <border>
      <left style="hair">
        <color auto="1"/>
      </left>
      <right style="hair">
        <color auto="1"/>
      </right>
      <top style="thick">
        <color rgb="FFFF0000"/>
      </top>
      <bottom/>
      <diagonal/>
    </border>
    <border>
      <left style="hair">
        <color auto="1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hair">
        <color auto="1"/>
      </right>
      <top style="thick">
        <color rgb="FFFF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rgb="FFFF0000"/>
      </top>
      <bottom style="hair">
        <color auto="1"/>
      </bottom>
      <diagonal/>
    </border>
    <border>
      <left style="hair">
        <color auto="1"/>
      </left>
      <right style="thick">
        <color rgb="FFFF0000"/>
      </right>
      <top style="thick">
        <color rgb="FFFF0000"/>
      </top>
      <bottom style="hair">
        <color auto="1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 style="thick">
        <color rgb="FFFF0000"/>
      </left>
      <right style="hair">
        <color auto="1"/>
      </right>
      <top style="hair">
        <color theme="1" tint="0.499984740745262"/>
      </top>
      <bottom style="thick">
        <color rgb="FFFF0000"/>
      </bottom>
      <diagonal/>
    </border>
    <border>
      <left style="hair">
        <color auto="1"/>
      </left>
      <right style="hair">
        <color auto="1"/>
      </right>
      <top style="hair">
        <color theme="1" tint="0.499984740745262"/>
      </top>
      <bottom style="thick">
        <color rgb="FFFF0000"/>
      </bottom>
      <diagonal/>
    </border>
    <border>
      <left style="hair">
        <color auto="1"/>
      </left>
      <right style="thick">
        <color rgb="FFFF0000"/>
      </right>
      <top style="hair">
        <color theme="1" tint="0.499984740745262"/>
      </top>
      <bottom style="thick">
        <color rgb="FFFF0000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hair">
        <color auto="1"/>
      </right>
      <top/>
      <bottom/>
      <diagonal/>
    </border>
    <border>
      <left style="hair">
        <color auto="1"/>
      </left>
      <right style="thick">
        <color rgb="FFFF0000"/>
      </right>
      <top/>
      <bottom/>
      <diagonal/>
    </border>
    <border>
      <left style="hair">
        <color auto="1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hair">
        <color auto="1"/>
      </left>
      <right/>
      <top style="thick">
        <color rgb="FFFF0000"/>
      </top>
      <bottom style="hair">
        <color theme="1" tint="0.499984740745262"/>
      </bottom>
      <diagonal/>
    </border>
    <border>
      <left style="hair">
        <color auto="1"/>
      </left>
      <right/>
      <top style="hair">
        <color theme="1" tint="0.499984740745262"/>
      </top>
      <bottom style="thick">
        <color rgb="FFFF0000"/>
      </bottom>
      <diagonal/>
    </border>
    <border>
      <left style="hair">
        <color auto="1"/>
      </left>
      <right/>
      <top style="thick">
        <color rgb="FFFF0000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rgb="FFFF0000"/>
      </bottom>
      <diagonal/>
    </border>
    <border>
      <left style="hair">
        <color auto="1"/>
      </left>
      <right style="thin">
        <color auto="1"/>
      </right>
      <top/>
      <bottom style="double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double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hair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thick">
        <color auto="1"/>
      </right>
      <top/>
      <bottom style="hair">
        <color theme="1" tint="0.499984740745262"/>
      </bottom>
      <diagonal/>
    </border>
    <border>
      <left style="thick">
        <color auto="1"/>
      </left>
      <right/>
      <top/>
      <bottom/>
      <diagonal/>
    </border>
    <border>
      <left style="hair">
        <color auto="1"/>
      </left>
      <right style="thick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n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theme="1" tint="0.499984740745262"/>
      </bottom>
      <diagonal/>
    </border>
    <border>
      <left style="thin">
        <color auto="1"/>
      </left>
      <right/>
      <top style="hair">
        <color theme="1" tint="0.499984740745262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theme="1" tint="0.499984740745262"/>
      </top>
      <bottom style="hair">
        <color auto="1"/>
      </bottom>
      <diagonal/>
    </border>
    <border>
      <left/>
      <right style="thin">
        <color auto="1"/>
      </right>
      <top style="hair">
        <color theme="1" tint="0.499984740745262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theme="1" tint="0.499984740745262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theme="1" tint="0.499984740745262"/>
      </top>
      <bottom style="hair">
        <color auto="1"/>
      </bottom>
      <diagonal/>
    </border>
    <border>
      <left/>
      <right style="hair">
        <color auto="1"/>
      </right>
      <top style="hair">
        <color theme="1" tint="0.499984740745262"/>
      </top>
      <bottom style="hair">
        <color auto="1"/>
      </bottom>
      <diagonal/>
    </border>
    <border>
      <left style="hair">
        <color auto="1"/>
      </left>
      <right/>
      <top style="hair">
        <color theme="1" tint="0.499984740745262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theme="1" tint="0.499984740745262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theme="1" tint="0.499984740745262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theme="1" tint="0.499984740745262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theme="1" tint="0.499984740745262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theme="1" tint="0.499984740745262"/>
      </bottom>
      <diagonal/>
    </border>
    <border>
      <left style="medium">
        <color auto="1"/>
      </left>
      <right style="hair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medium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auto="1"/>
      </left>
      <right style="hair">
        <color auto="1"/>
      </right>
      <top style="hair">
        <color theme="1" tint="0.499984740745262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theme="1" tint="0.499984740745262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rgb="FFC00000"/>
      </left>
      <right style="hair">
        <color auto="1"/>
      </right>
      <top style="thick">
        <color rgb="FFC00000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ck">
        <color rgb="FFC00000"/>
      </top>
      <bottom style="double">
        <color auto="1"/>
      </bottom>
      <diagonal/>
    </border>
    <border>
      <left style="hair">
        <color auto="1"/>
      </left>
      <right style="thick">
        <color rgb="FFC00000"/>
      </right>
      <top style="thick">
        <color rgb="FFC00000"/>
      </top>
      <bottom style="double">
        <color auto="1"/>
      </bottom>
      <diagonal/>
    </border>
    <border>
      <left style="thick">
        <color rgb="FFC00000"/>
      </left>
      <right style="hair">
        <color auto="1"/>
      </right>
      <top/>
      <bottom style="hair">
        <color theme="1" tint="0.499984740745262"/>
      </bottom>
      <diagonal/>
    </border>
    <border>
      <left style="hair">
        <color auto="1"/>
      </left>
      <right style="thick">
        <color rgb="FFC00000"/>
      </right>
      <top/>
      <bottom style="hair">
        <color theme="1" tint="0.499984740745262"/>
      </bottom>
      <diagonal/>
    </border>
    <border>
      <left style="thick">
        <color rgb="FFC00000"/>
      </left>
      <right style="hair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thick">
        <color rgb="FFC00000"/>
      </right>
      <top style="hair">
        <color theme="1" tint="0.499984740745262"/>
      </top>
      <bottom style="hair">
        <color theme="1" tint="0.499984740745262"/>
      </bottom>
      <diagonal/>
    </border>
    <border>
      <left style="thick">
        <color rgb="FFC00000"/>
      </left>
      <right style="hair">
        <color auto="1"/>
      </right>
      <top style="hair">
        <color theme="1" tint="0.499984740745262"/>
      </top>
      <bottom style="thin">
        <color auto="1"/>
      </bottom>
      <diagonal/>
    </border>
    <border>
      <left style="hair">
        <color auto="1"/>
      </left>
      <right style="thick">
        <color rgb="FFC00000"/>
      </right>
      <top style="hair">
        <color theme="1" tint="0.499984740745262"/>
      </top>
      <bottom style="thin">
        <color auto="1"/>
      </bottom>
      <diagonal/>
    </border>
    <border>
      <left style="thick">
        <color rgb="FFC00000"/>
      </left>
      <right/>
      <top style="thin">
        <color auto="1"/>
      </top>
      <bottom style="thin">
        <color auto="1"/>
      </bottom>
      <diagonal/>
    </border>
    <border>
      <left/>
      <right style="thick">
        <color rgb="FFC00000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ck">
        <color rgb="FFC00000"/>
      </right>
      <top style="thin">
        <color auto="1"/>
      </top>
      <bottom style="hair">
        <color auto="1"/>
      </bottom>
      <diagonal/>
    </border>
    <border>
      <left style="thick">
        <color rgb="FFC00000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ck">
        <color rgb="FFC00000"/>
      </right>
      <top style="hair">
        <color auto="1"/>
      </top>
      <bottom style="thin">
        <color auto="1"/>
      </bottom>
      <diagonal/>
    </border>
    <border>
      <left style="thick">
        <color rgb="FFC00000"/>
      </left>
      <right style="hair">
        <color auto="1"/>
      </right>
      <top/>
      <bottom style="thick">
        <color rgb="FFC00000"/>
      </bottom>
      <diagonal/>
    </border>
    <border>
      <left style="hair">
        <color auto="1"/>
      </left>
      <right style="hair">
        <color auto="1"/>
      </right>
      <top/>
      <bottom style="thick">
        <color rgb="FFC00000"/>
      </bottom>
      <diagonal/>
    </border>
    <border>
      <left style="hair">
        <color auto="1"/>
      </left>
      <right style="thick">
        <color rgb="FFC00000"/>
      </right>
      <top/>
      <bottom style="thick">
        <color rgb="FFC00000"/>
      </bottom>
      <diagonal/>
    </border>
    <border>
      <left style="thick">
        <color rgb="FFC00000"/>
      </left>
      <right style="hair">
        <color auto="1"/>
      </right>
      <top style="thick">
        <color rgb="FFC00000"/>
      </top>
      <bottom style="hair">
        <color theme="1" tint="0.499984740745262"/>
      </bottom>
      <diagonal/>
    </border>
    <border>
      <left style="hair">
        <color auto="1"/>
      </left>
      <right style="hair">
        <color auto="1"/>
      </right>
      <top style="thick">
        <color rgb="FFC00000"/>
      </top>
      <bottom style="hair">
        <color theme="1" tint="0.499984740745262"/>
      </bottom>
      <diagonal/>
    </border>
    <border>
      <left style="hair">
        <color auto="1"/>
      </left>
      <right style="thick">
        <color rgb="FFC00000"/>
      </right>
      <top style="thick">
        <color rgb="FFC00000"/>
      </top>
      <bottom style="hair">
        <color theme="1" tint="0.499984740745262"/>
      </bottom>
      <diagonal/>
    </border>
    <border>
      <left style="thick">
        <color rgb="FFC00000"/>
      </left>
      <right/>
      <top style="thick">
        <color rgb="FFC00000"/>
      </top>
      <bottom style="hair">
        <color theme="1" tint="0.499984740745262"/>
      </bottom>
      <diagonal/>
    </border>
    <border>
      <left/>
      <right style="thick">
        <color rgb="FFC00000"/>
      </right>
      <top style="thick">
        <color rgb="FFC00000"/>
      </top>
      <bottom style="hair">
        <color theme="1" tint="0.499984740745262"/>
      </bottom>
      <diagonal/>
    </border>
    <border>
      <left style="thick">
        <color rgb="FFC00000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thick">
        <color rgb="FFC00000"/>
      </right>
      <top style="hair">
        <color theme="1" tint="0.499984740745262"/>
      </top>
      <bottom style="hair">
        <color theme="1" tint="0.499984740745262"/>
      </bottom>
      <diagonal/>
    </border>
    <border>
      <left style="thick">
        <color rgb="FFC00000"/>
      </left>
      <right/>
      <top style="hair">
        <color theme="1" tint="0.499984740745262"/>
      </top>
      <bottom style="thin">
        <color auto="1"/>
      </bottom>
      <diagonal/>
    </border>
    <border>
      <left/>
      <right style="thick">
        <color rgb="FFC00000"/>
      </right>
      <top style="hair">
        <color theme="1" tint="0.499984740745262"/>
      </top>
      <bottom style="thin">
        <color auto="1"/>
      </bottom>
      <diagonal/>
    </border>
    <border>
      <left style="thick">
        <color rgb="FFC00000"/>
      </left>
      <right/>
      <top style="thin">
        <color auto="1"/>
      </top>
      <bottom style="hair">
        <color auto="1"/>
      </bottom>
      <diagonal/>
    </border>
    <border>
      <left/>
      <right style="thick">
        <color rgb="FFC00000"/>
      </right>
      <top style="thin">
        <color auto="1"/>
      </top>
      <bottom style="hair">
        <color auto="1"/>
      </bottom>
      <diagonal/>
    </border>
    <border>
      <left style="thick">
        <color rgb="FFC00000"/>
      </left>
      <right/>
      <top style="hair">
        <color auto="1"/>
      </top>
      <bottom style="thin">
        <color auto="1"/>
      </bottom>
      <diagonal/>
    </border>
    <border>
      <left/>
      <right style="thick">
        <color rgb="FFC00000"/>
      </right>
      <top style="hair">
        <color auto="1"/>
      </top>
      <bottom style="thin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rgb="FFC00000"/>
      </left>
      <right/>
      <top/>
      <bottom style="hair">
        <color theme="1" tint="0.499984740745262"/>
      </bottom>
      <diagonal/>
    </border>
    <border>
      <left/>
      <right style="thick">
        <color rgb="FFC00000"/>
      </right>
      <top/>
      <bottom style="hair">
        <color theme="1" tint="0.499984740745262"/>
      </bottom>
      <diagonal/>
    </border>
    <border>
      <left style="thin">
        <color auto="1"/>
      </left>
      <right style="hair">
        <color auto="1"/>
      </right>
      <top style="hair">
        <color theme="1" tint="0.499984740745262"/>
      </top>
      <bottom style="hair">
        <color auto="1"/>
      </bottom>
      <diagonal/>
    </border>
    <border>
      <left/>
      <right/>
      <top style="hair">
        <color theme="1" tint="0.499984740745262"/>
      </top>
      <bottom style="hair">
        <color auto="1"/>
      </bottom>
      <diagonal/>
    </border>
    <border>
      <left style="hair">
        <color auto="1"/>
      </left>
      <right style="thick">
        <color rgb="FFC00000"/>
      </right>
      <top style="hair">
        <color theme="1" tint="0.499984740745262"/>
      </top>
      <bottom style="hair">
        <color auto="1"/>
      </bottom>
      <diagonal/>
    </border>
    <border>
      <left style="thin">
        <color auto="1"/>
      </left>
      <right/>
      <top style="hair">
        <color theme="1" tint="0.499984740745262"/>
      </top>
      <bottom/>
      <diagonal/>
    </border>
    <border>
      <left style="hair">
        <color auto="1"/>
      </left>
      <right style="hair">
        <color auto="1"/>
      </right>
      <top style="hair">
        <color theme="1" tint="0.499984740745262"/>
      </top>
      <bottom/>
      <diagonal/>
    </border>
    <border>
      <left/>
      <right style="thin">
        <color auto="1"/>
      </right>
      <top style="hair">
        <color theme="1" tint="0.499984740745262"/>
      </top>
      <bottom/>
      <diagonal/>
    </border>
    <border>
      <left style="thin">
        <color auto="1"/>
      </left>
      <right style="hair">
        <color auto="1"/>
      </right>
      <top style="hair">
        <color theme="1" tint="0.499984740745262"/>
      </top>
      <bottom/>
      <diagonal/>
    </border>
    <border>
      <left style="hair">
        <color auto="1"/>
      </left>
      <right style="thin">
        <color auto="1"/>
      </right>
      <top style="hair">
        <color theme="1" tint="0.499984740745262"/>
      </top>
      <bottom/>
      <diagonal/>
    </border>
    <border>
      <left style="hair">
        <color auto="1"/>
      </left>
      <right/>
      <top style="hair">
        <color theme="1" tint="0.499984740745262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ck">
        <color rgb="FFFF0000"/>
      </right>
      <top style="thin">
        <color auto="1"/>
      </top>
      <bottom/>
      <diagonal/>
    </border>
    <border>
      <left/>
      <right style="hair">
        <color auto="1"/>
      </right>
      <top style="hair">
        <color theme="1" tint="0.499984740745262"/>
      </top>
      <bottom/>
      <diagonal/>
    </border>
    <border>
      <left style="hair">
        <color auto="1"/>
      </left>
      <right style="hair">
        <color auto="1"/>
      </right>
      <top style="hair">
        <color theme="1"/>
      </top>
      <bottom style="thin">
        <color theme="1"/>
      </bottom>
      <diagonal/>
    </border>
    <border>
      <left style="thick">
        <color rgb="FFFF0000"/>
      </left>
      <right style="hair">
        <color auto="1"/>
      </right>
      <top style="hair">
        <color theme="1"/>
      </top>
      <bottom style="thin">
        <color theme="1"/>
      </bottom>
      <diagonal/>
    </border>
    <border>
      <left style="hair">
        <color auto="1"/>
      </left>
      <right style="thick">
        <color rgb="FFFF0000"/>
      </right>
      <top style="hair">
        <color theme="1"/>
      </top>
      <bottom style="thin">
        <color theme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ck">
        <color rgb="FFFF0000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ck">
        <color rgb="FFFF0000"/>
      </right>
      <top style="hair">
        <color auto="1"/>
      </top>
      <bottom/>
      <diagonal/>
    </border>
    <border>
      <left style="hair">
        <color auto="1"/>
      </left>
      <right style="thick">
        <color rgb="FFFF0000"/>
      </right>
      <top style="thick">
        <color auto="1"/>
      </top>
      <bottom style="thick">
        <color auto="1"/>
      </bottom>
      <diagonal/>
    </border>
    <border>
      <left style="thick">
        <color rgb="FFFF0000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theme="1"/>
      </left>
      <right style="hair">
        <color auto="1"/>
      </right>
      <top style="thin">
        <color theme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theme="1"/>
      </top>
      <bottom style="double">
        <color auto="1"/>
      </bottom>
      <diagonal/>
    </border>
    <border>
      <left style="hair">
        <color auto="1"/>
      </left>
      <right/>
      <top style="thin">
        <color theme="1"/>
      </top>
      <bottom style="double">
        <color auto="1"/>
      </bottom>
      <diagonal/>
    </border>
    <border>
      <left style="hair">
        <color auto="1"/>
      </left>
      <right style="thin">
        <color theme="1"/>
      </right>
      <top style="thin">
        <color theme="1"/>
      </top>
      <bottom style="double">
        <color auto="1"/>
      </bottom>
      <diagonal/>
    </border>
    <border>
      <left style="thin">
        <color theme="1"/>
      </left>
      <right style="hair">
        <color auto="1"/>
      </right>
      <top/>
      <bottom style="hair">
        <color theme="1" tint="0.499984740745262"/>
      </bottom>
      <diagonal/>
    </border>
    <border>
      <left style="hair">
        <color auto="1"/>
      </left>
      <right style="thin">
        <color theme="1"/>
      </right>
      <top/>
      <bottom style="hair">
        <color theme="1" tint="0.499984740745262"/>
      </bottom>
      <diagonal/>
    </border>
    <border>
      <left style="thin">
        <color theme="1"/>
      </left>
      <right style="hair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thin">
        <color theme="1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/>
      </left>
      <right style="hair">
        <color auto="1"/>
      </right>
      <top style="hair">
        <color theme="1" tint="0.499984740745262"/>
      </top>
      <bottom style="thin">
        <color auto="1"/>
      </bottom>
      <diagonal/>
    </border>
    <border>
      <left style="hair">
        <color auto="1"/>
      </left>
      <right style="thin">
        <color theme="1"/>
      </right>
      <top style="hair">
        <color theme="1" tint="0.499984740745262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/>
      <diagonal/>
    </border>
    <border>
      <left style="thick">
        <color theme="1"/>
      </left>
      <right style="hair">
        <color auto="1"/>
      </right>
      <top style="thick">
        <color theme="1"/>
      </top>
      <bottom style="thick">
        <color theme="1"/>
      </bottom>
      <diagonal/>
    </border>
    <border>
      <left style="hair">
        <color auto="1"/>
      </left>
      <right style="hair">
        <color auto="1"/>
      </right>
      <top style="thick">
        <color theme="1"/>
      </top>
      <bottom style="thick">
        <color theme="1"/>
      </bottom>
      <diagonal/>
    </border>
    <border>
      <left style="hair">
        <color auto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hair">
        <color auto="1"/>
      </left>
      <right style="thin">
        <color theme="1"/>
      </right>
      <top style="thin">
        <color auto="1"/>
      </top>
      <bottom/>
      <diagonal/>
    </border>
    <border>
      <left style="hair">
        <color auto="1"/>
      </left>
      <right style="thin">
        <color theme="1"/>
      </right>
      <top style="hair">
        <color auto="1"/>
      </top>
      <bottom/>
      <diagonal/>
    </border>
    <border>
      <left style="hair">
        <color auto="1"/>
      </left>
      <right style="thin">
        <color theme="1"/>
      </right>
      <top style="hair">
        <color auto="1"/>
      </top>
      <bottom style="thin">
        <color auto="1"/>
      </bottom>
      <diagonal/>
    </border>
    <border>
      <left style="thin">
        <color theme="1"/>
      </left>
      <right style="hair">
        <color auto="1"/>
      </right>
      <top/>
      <bottom style="thin">
        <color theme="1"/>
      </bottom>
      <diagonal/>
    </border>
    <border>
      <left style="hair">
        <color auto="1"/>
      </left>
      <right style="hair">
        <color auto="1"/>
      </right>
      <top/>
      <bottom style="thin">
        <color theme="1"/>
      </bottom>
      <diagonal/>
    </border>
    <border>
      <left style="hair">
        <color auto="1"/>
      </left>
      <right/>
      <top/>
      <bottom style="thin">
        <color theme="1"/>
      </bottom>
      <diagonal/>
    </border>
    <border>
      <left style="hair">
        <color auto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ck">
        <color theme="1"/>
      </top>
      <bottom style="thick">
        <color theme="1"/>
      </bottom>
      <diagonal/>
    </border>
    <border>
      <left style="thick">
        <color rgb="FFFFC000"/>
      </left>
      <right/>
      <top style="thick">
        <color rgb="FFFFC000"/>
      </top>
      <bottom/>
      <diagonal/>
    </border>
    <border>
      <left style="hair">
        <color auto="1"/>
      </left>
      <right style="hair">
        <color auto="1"/>
      </right>
      <top style="thick">
        <color rgb="FFFFC000"/>
      </top>
      <bottom/>
      <diagonal/>
    </border>
    <border>
      <left/>
      <right style="thick">
        <color rgb="FFFFC000"/>
      </right>
      <top style="thick">
        <color rgb="FFFFC000"/>
      </top>
      <bottom/>
      <diagonal/>
    </border>
    <border>
      <left style="thick">
        <color rgb="FFFFC000"/>
      </left>
      <right/>
      <top style="hair">
        <color auto="1"/>
      </top>
      <bottom/>
      <diagonal/>
    </border>
    <border>
      <left/>
      <right style="thick">
        <color rgb="FFFFC000"/>
      </right>
      <top style="hair">
        <color auto="1"/>
      </top>
      <bottom/>
      <diagonal/>
    </border>
    <border>
      <left style="thick">
        <color rgb="FFFFC000"/>
      </left>
      <right/>
      <top style="hair">
        <color auto="1"/>
      </top>
      <bottom style="thick">
        <color rgb="FFFFC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rgb="FFFFC000"/>
      </bottom>
      <diagonal/>
    </border>
    <border>
      <left/>
      <right style="thick">
        <color rgb="FFFFC000"/>
      </right>
      <top style="hair">
        <color auto="1"/>
      </top>
      <bottom style="thick">
        <color rgb="FFFFC000"/>
      </bottom>
      <diagonal/>
    </border>
    <border>
      <left style="thick">
        <color rgb="FFFFC000"/>
      </left>
      <right style="hair">
        <color auto="1"/>
      </right>
      <top style="thick">
        <color rgb="FFFFC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rgb="FFFFC000"/>
      </top>
      <bottom style="hair">
        <color auto="1"/>
      </bottom>
      <diagonal/>
    </border>
    <border>
      <left style="hair">
        <color auto="1"/>
      </left>
      <right style="thick">
        <color rgb="FFFFC000"/>
      </right>
      <top style="thick">
        <color rgb="FFFFC000"/>
      </top>
      <bottom style="hair">
        <color auto="1"/>
      </bottom>
      <diagonal/>
    </border>
    <border>
      <left style="thick">
        <color rgb="FFFFC000"/>
      </left>
      <right style="hair">
        <color auto="1"/>
      </right>
      <top style="hair">
        <color auto="1"/>
      </top>
      <bottom style="thick">
        <color rgb="FFFFC000"/>
      </bottom>
      <diagonal/>
    </border>
    <border>
      <left style="hair">
        <color auto="1"/>
      </left>
      <right style="thick">
        <color rgb="FFFFC000"/>
      </right>
      <top style="hair">
        <color auto="1"/>
      </top>
      <bottom style="thick">
        <color rgb="FFFFC000"/>
      </bottom>
      <diagonal/>
    </border>
    <border>
      <left style="hair">
        <color auto="1"/>
      </left>
      <right/>
      <top style="thick">
        <color theme="1"/>
      </top>
      <bottom style="thick">
        <color theme="1"/>
      </bottom>
      <diagonal/>
    </border>
    <border>
      <left style="thick">
        <color rgb="FFFFC000"/>
      </left>
      <right style="hair">
        <color auto="1"/>
      </right>
      <top style="hair">
        <color theme="1"/>
      </top>
      <bottom style="thick">
        <color rgb="FFFFC000"/>
      </bottom>
      <diagonal/>
    </border>
    <border>
      <left style="hair">
        <color auto="1"/>
      </left>
      <right style="hair">
        <color auto="1"/>
      </right>
      <top style="hair">
        <color theme="1"/>
      </top>
      <bottom style="thick">
        <color rgb="FFFFC000"/>
      </bottom>
      <diagonal/>
    </border>
    <border>
      <left style="hair">
        <color auto="1"/>
      </left>
      <right style="thick">
        <color rgb="FFFFC000"/>
      </right>
      <top style="hair">
        <color theme="1"/>
      </top>
      <bottom style="thick">
        <color rgb="FFFFC000"/>
      </bottom>
      <diagonal/>
    </border>
    <border>
      <left style="thick">
        <color rgb="FFFFC000"/>
      </left>
      <right style="hair">
        <color auto="1"/>
      </right>
      <top/>
      <bottom/>
      <diagonal/>
    </border>
    <border>
      <left style="hair">
        <color auto="1"/>
      </left>
      <right style="thick">
        <color rgb="FFFFC000"/>
      </right>
      <top/>
      <bottom/>
      <diagonal/>
    </border>
    <border>
      <left style="thick">
        <color rgb="FFFFC000"/>
      </left>
      <right/>
      <top style="thick">
        <color rgb="FFFFC000"/>
      </top>
      <bottom style="hair">
        <color auto="1"/>
      </bottom>
      <diagonal/>
    </border>
    <border>
      <left/>
      <right style="thick">
        <color rgb="FFFFC000"/>
      </right>
      <top style="thick">
        <color rgb="FFFFC000"/>
      </top>
      <bottom style="hair">
        <color auto="1"/>
      </bottom>
      <diagonal/>
    </border>
    <border>
      <left style="thick">
        <color rgb="FFFF0000"/>
      </left>
      <right style="hair">
        <color auto="1"/>
      </right>
      <top style="hair">
        <color theme="1" tint="0.499984740745262"/>
      </top>
      <bottom style="hair">
        <color auto="1"/>
      </bottom>
      <diagonal/>
    </border>
    <border>
      <left style="medium">
        <color rgb="FFFF0000"/>
      </left>
      <right style="hair">
        <color auto="1"/>
      </right>
      <top style="medium">
        <color rgb="FFFF0000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rgb="FFFF0000"/>
      </top>
      <bottom style="double">
        <color auto="1"/>
      </bottom>
      <diagonal/>
    </border>
    <border>
      <left style="hair">
        <color auto="1"/>
      </left>
      <right style="medium">
        <color rgb="FFFF0000"/>
      </right>
      <top style="medium">
        <color rgb="FFFF0000"/>
      </top>
      <bottom style="double">
        <color auto="1"/>
      </bottom>
      <diagonal/>
    </border>
    <border>
      <left style="medium">
        <color rgb="FFFF0000"/>
      </left>
      <right style="hair">
        <color auto="1"/>
      </right>
      <top/>
      <bottom style="hair">
        <color theme="1" tint="0.499984740745262"/>
      </bottom>
      <diagonal/>
    </border>
    <border>
      <left style="hair">
        <color auto="1"/>
      </left>
      <right style="medium">
        <color rgb="FFFF0000"/>
      </right>
      <top/>
      <bottom style="hair">
        <color theme="1" tint="0.499984740745262"/>
      </bottom>
      <diagonal/>
    </border>
    <border>
      <left style="medium">
        <color rgb="FFFF0000"/>
      </left>
      <right style="hair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medium">
        <color rgb="FFFF0000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rgb="FFFF0000"/>
      </left>
      <right style="hair">
        <color auto="1"/>
      </right>
      <top style="hair">
        <color theme="1" tint="0.499984740745262"/>
      </top>
      <bottom style="thin">
        <color auto="1"/>
      </bottom>
      <diagonal/>
    </border>
    <border>
      <left style="hair">
        <color auto="1"/>
      </left>
      <right style="medium">
        <color rgb="FFFF0000"/>
      </right>
      <top style="hair">
        <color theme="1" tint="0.499984740745262"/>
      </top>
      <bottom style="thin">
        <color auto="1"/>
      </bottom>
      <diagonal/>
    </border>
    <border>
      <left style="medium">
        <color rgb="FFFF0000"/>
      </left>
      <right/>
      <top style="thin">
        <color auto="1"/>
      </top>
      <bottom style="thin">
        <color auto="1"/>
      </bottom>
      <diagonal/>
    </border>
    <border>
      <left/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rgb="FFFF0000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rgb="FFFF0000"/>
      </right>
      <top style="hair">
        <color auto="1"/>
      </top>
      <bottom style="thin">
        <color auto="1"/>
      </bottom>
      <diagonal/>
    </border>
    <border>
      <left style="medium">
        <color rgb="FFFF0000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rgb="FFFF0000"/>
      </right>
      <top/>
      <bottom style="thin">
        <color auto="1"/>
      </bottom>
      <diagonal/>
    </border>
    <border>
      <left style="medium">
        <color rgb="FFFF0000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medium">
        <color rgb="FFFF0000"/>
      </right>
      <top style="thin">
        <color auto="1"/>
      </top>
      <bottom style="double">
        <color auto="1"/>
      </bottom>
      <diagonal/>
    </border>
    <border>
      <left style="medium">
        <color rgb="FFFF0000"/>
      </left>
      <right style="hair">
        <color auto="1"/>
      </right>
      <top style="hair">
        <color auto="1"/>
      </top>
      <bottom style="medium">
        <color rgb="FFFF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rgb="FFFF0000"/>
      </bottom>
      <diagonal/>
    </border>
    <border>
      <left style="hair">
        <color auto="1"/>
      </left>
      <right style="medium">
        <color rgb="FFFF0000"/>
      </right>
      <top style="hair">
        <color auto="1"/>
      </top>
      <bottom style="medium">
        <color rgb="FFFF0000"/>
      </bottom>
      <diagonal/>
    </border>
    <border>
      <left style="thin">
        <color auto="1"/>
      </left>
      <right/>
      <top style="double">
        <color auto="1"/>
      </top>
      <bottom style="hair">
        <color theme="1" tint="0.499984740745262"/>
      </bottom>
      <diagonal/>
    </border>
    <border>
      <left/>
      <right/>
      <top style="double">
        <color auto="1"/>
      </top>
      <bottom style="hair">
        <color theme="1" tint="0.499984740745262"/>
      </bottom>
      <diagonal/>
    </border>
    <border>
      <left/>
      <right style="thin">
        <color auto="1"/>
      </right>
      <top style="double">
        <color auto="1"/>
      </top>
      <bottom style="hair">
        <color theme="1" tint="0.499984740745262"/>
      </bottom>
      <diagonal/>
    </border>
    <border>
      <left style="hair">
        <color auto="1"/>
      </left>
      <right style="medium">
        <color rgb="FFFF0000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rgb="FFFF0000"/>
      </right>
      <top style="thin">
        <color auto="1"/>
      </top>
      <bottom style="hair">
        <color auto="1"/>
      </bottom>
      <diagonal/>
    </border>
    <border>
      <left/>
      <right/>
      <top style="hair">
        <color theme="1" tint="0.499984740745262"/>
      </top>
      <bottom/>
      <diagonal/>
    </border>
  </borders>
  <cellStyleXfs count="3">
    <xf numFmtId="0" fontId="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</cellStyleXfs>
  <cellXfs count="13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20" fontId="1" fillId="0" borderId="23" xfId="0" applyNumberFormat="1" applyFont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>
      <alignment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20" fontId="1" fillId="0" borderId="35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20" fontId="1" fillId="0" borderId="38" xfId="0" applyNumberFormat="1" applyFont="1" applyBorder="1" applyAlignment="1">
      <alignment horizontal="center" vertical="center"/>
    </xf>
    <xf numFmtId="0" fontId="1" fillId="0" borderId="39" xfId="0" applyFont="1" applyBorder="1">
      <alignment vertical="center"/>
    </xf>
    <xf numFmtId="0" fontId="1" fillId="0" borderId="3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20" fontId="1" fillId="0" borderId="40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>
      <alignment vertical="center"/>
    </xf>
    <xf numFmtId="0" fontId="1" fillId="0" borderId="4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0" fontId="1" fillId="0" borderId="12" xfId="0" applyNumberFormat="1" applyFont="1" applyBorder="1" applyAlignment="1">
      <alignment horizontal="center" vertical="center"/>
    </xf>
    <xf numFmtId="0" fontId="1" fillId="0" borderId="26" xfId="0" applyFont="1" applyBorder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7" xfId="0" applyFont="1" applyBorder="1">
      <alignment vertical="center"/>
    </xf>
    <xf numFmtId="0" fontId="1" fillId="0" borderId="27" xfId="0" applyFont="1" applyBorder="1" applyAlignment="1">
      <alignment horizontal="center" vertical="center"/>
    </xf>
    <xf numFmtId="0" fontId="1" fillId="5" borderId="60" xfId="0" applyFont="1" applyFill="1" applyBorder="1" applyAlignment="1">
      <alignment horizontal="center" vertical="center"/>
    </xf>
    <xf numFmtId="20" fontId="1" fillId="5" borderId="61" xfId="0" applyNumberFormat="1" applyFont="1" applyFill="1" applyBorder="1" applyAlignment="1">
      <alignment horizontal="center" vertical="center"/>
    </xf>
    <xf numFmtId="0" fontId="1" fillId="5" borderId="62" xfId="0" applyFont="1" applyFill="1" applyBorder="1">
      <alignment vertical="center"/>
    </xf>
    <xf numFmtId="0" fontId="1" fillId="5" borderId="62" xfId="0" applyFont="1" applyFill="1" applyBorder="1" applyAlignment="1">
      <alignment horizontal="center" vertical="center"/>
    </xf>
    <xf numFmtId="20" fontId="1" fillId="5" borderId="63" xfId="0" applyNumberFormat="1" applyFont="1" applyFill="1" applyBorder="1" applyAlignment="1">
      <alignment horizontal="center" vertical="center"/>
    </xf>
    <xf numFmtId="0" fontId="1" fillId="5" borderId="64" xfId="0" applyFont="1" applyFill="1" applyBorder="1" applyAlignment="1">
      <alignment horizontal="center" vertical="center"/>
    </xf>
    <xf numFmtId="0" fontId="1" fillId="5" borderId="65" xfId="0" applyFont="1" applyFill="1" applyBorder="1" applyAlignment="1">
      <alignment horizontal="center" vertical="center"/>
    </xf>
    <xf numFmtId="0" fontId="1" fillId="5" borderId="56" xfId="0" applyFont="1" applyFill="1" applyBorder="1" applyAlignment="1">
      <alignment horizontal="center" vertical="center"/>
    </xf>
    <xf numFmtId="20" fontId="1" fillId="5" borderId="49" xfId="0" applyNumberFormat="1" applyFont="1" applyFill="1" applyBorder="1" applyAlignment="1">
      <alignment horizontal="center" vertical="center"/>
    </xf>
    <xf numFmtId="0" fontId="1" fillId="5" borderId="55" xfId="0" applyFont="1" applyFill="1" applyBorder="1">
      <alignment vertical="center"/>
    </xf>
    <xf numFmtId="0" fontId="1" fillId="5" borderId="55" xfId="0" applyFont="1" applyFill="1" applyBorder="1" applyAlignment="1">
      <alignment horizontal="center" vertical="center"/>
    </xf>
    <xf numFmtId="20" fontId="1" fillId="5" borderId="57" xfId="0" applyNumberFormat="1" applyFont="1" applyFill="1" applyBorder="1" applyAlignment="1">
      <alignment horizontal="center" vertical="center"/>
    </xf>
    <xf numFmtId="0" fontId="1" fillId="5" borderId="58" xfId="0" applyFont="1" applyFill="1" applyBorder="1" applyAlignment="1">
      <alignment horizontal="center" vertical="center"/>
    </xf>
    <xf numFmtId="0" fontId="1" fillId="5" borderId="59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0" fontId="1" fillId="5" borderId="50" xfId="0" applyNumberFormat="1" applyFont="1" applyFill="1" applyBorder="1" applyAlignment="1">
      <alignment horizontal="center" vertical="center"/>
    </xf>
    <xf numFmtId="0" fontId="1" fillId="5" borderId="51" xfId="0" applyFont="1" applyFill="1" applyBorder="1">
      <alignment vertical="center"/>
    </xf>
    <xf numFmtId="0" fontId="1" fillId="5" borderId="51" xfId="0" applyFont="1" applyFill="1" applyBorder="1" applyAlignment="1">
      <alignment horizontal="center" vertical="center"/>
    </xf>
    <xf numFmtId="20" fontId="1" fillId="5" borderId="52" xfId="0" applyNumberFormat="1" applyFont="1" applyFill="1" applyBorder="1" applyAlignment="1">
      <alignment horizontal="center" vertical="center"/>
    </xf>
    <xf numFmtId="0" fontId="1" fillId="5" borderId="53" xfId="0" applyFont="1" applyFill="1" applyBorder="1" applyAlignment="1">
      <alignment horizontal="center" vertical="center"/>
    </xf>
    <xf numFmtId="0" fontId="1" fillId="5" borderId="54" xfId="0" applyFont="1" applyFill="1" applyBorder="1" applyAlignment="1">
      <alignment horizontal="center" vertical="center"/>
    </xf>
    <xf numFmtId="0" fontId="1" fillId="6" borderId="11" xfId="0" applyFont="1" applyFill="1" applyBorder="1">
      <alignment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20" fontId="1" fillId="7" borderId="40" xfId="0" applyNumberFormat="1" applyFont="1" applyFill="1" applyBorder="1" applyAlignment="1">
      <alignment horizontal="center" vertical="center"/>
    </xf>
    <xf numFmtId="0" fontId="1" fillId="7" borderId="42" xfId="0" applyFont="1" applyFill="1" applyBorder="1">
      <alignment vertical="center"/>
    </xf>
    <xf numFmtId="0" fontId="1" fillId="7" borderId="39" xfId="0" applyFont="1" applyFill="1" applyBorder="1" applyAlignment="1">
      <alignment horizontal="center" vertical="center"/>
    </xf>
    <xf numFmtId="0" fontId="1" fillId="7" borderId="41" xfId="0" applyFont="1" applyFill="1" applyBorder="1" applyAlignment="1">
      <alignment horizontal="center" vertical="center"/>
    </xf>
    <xf numFmtId="20" fontId="1" fillId="7" borderId="12" xfId="0" applyNumberFormat="1" applyFont="1" applyFill="1" applyBorder="1" applyAlignment="1">
      <alignment horizontal="center" vertical="center"/>
    </xf>
    <xf numFmtId="0" fontId="1" fillId="7" borderId="26" xfId="0" applyFont="1" applyFill="1" applyBorder="1">
      <alignment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27" xfId="0" applyFont="1" applyFill="1" applyBorder="1">
      <alignment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20" fontId="1" fillId="7" borderId="63" xfId="0" applyNumberFormat="1" applyFont="1" applyFill="1" applyBorder="1" applyAlignment="1">
      <alignment horizontal="center" vertical="center"/>
    </xf>
    <xf numFmtId="0" fontId="1" fillId="7" borderId="62" xfId="0" applyFont="1" applyFill="1" applyBorder="1">
      <alignment vertical="center"/>
    </xf>
    <xf numFmtId="0" fontId="1" fillId="7" borderId="62" xfId="0" applyFont="1" applyFill="1" applyBorder="1" applyAlignment="1">
      <alignment horizontal="center" vertical="center"/>
    </xf>
    <xf numFmtId="0" fontId="1" fillId="7" borderId="64" xfId="0" applyFont="1" applyFill="1" applyBorder="1" applyAlignment="1">
      <alignment horizontal="center" vertical="center"/>
    </xf>
    <xf numFmtId="20" fontId="1" fillId="7" borderId="57" xfId="0" applyNumberFormat="1" applyFont="1" applyFill="1" applyBorder="1" applyAlignment="1">
      <alignment horizontal="center" vertical="center"/>
    </xf>
    <xf numFmtId="0" fontId="1" fillId="7" borderId="55" xfId="0" applyFont="1" applyFill="1" applyBorder="1">
      <alignment vertical="center"/>
    </xf>
    <xf numFmtId="0" fontId="1" fillId="7" borderId="55" xfId="0" applyFont="1" applyFill="1" applyBorder="1" applyAlignment="1">
      <alignment horizontal="center" vertical="center"/>
    </xf>
    <xf numFmtId="0" fontId="1" fillId="7" borderId="58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2" xfId="0" applyFont="1" applyFill="1" applyBorder="1">
      <alignment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7" borderId="39" xfId="0" applyFont="1" applyFill="1" applyBorder="1">
      <alignment vertical="center"/>
    </xf>
    <xf numFmtId="0" fontId="1" fillId="7" borderId="42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1" xfId="0" applyFont="1" applyFill="1" applyBorder="1">
      <alignment vertical="center"/>
    </xf>
    <xf numFmtId="0" fontId="1" fillId="7" borderId="26" xfId="0" applyFont="1" applyFill="1" applyBorder="1" applyAlignment="1">
      <alignment horizontal="center" vertical="center"/>
    </xf>
    <xf numFmtId="0" fontId="1" fillId="7" borderId="16" xfId="0" applyFont="1" applyFill="1" applyBorder="1">
      <alignment vertical="center"/>
    </xf>
    <xf numFmtId="0" fontId="1" fillId="7" borderId="27" xfId="0" applyFont="1" applyFill="1" applyBorder="1" applyAlignment="1">
      <alignment horizontal="center" vertical="center"/>
    </xf>
    <xf numFmtId="0" fontId="1" fillId="7" borderId="65" xfId="0" applyFont="1" applyFill="1" applyBorder="1" applyAlignment="1">
      <alignment horizontal="center" vertical="center"/>
    </xf>
    <xf numFmtId="0" fontId="1" fillId="7" borderId="59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8" borderId="22" xfId="0" applyFont="1" applyFill="1" applyBorder="1">
      <alignment vertical="center"/>
    </xf>
    <xf numFmtId="0" fontId="1" fillId="8" borderId="22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20" fontId="1" fillId="8" borderId="23" xfId="0" applyNumberFormat="1" applyFont="1" applyFill="1" applyBorder="1" applyAlignment="1">
      <alignment horizontal="center" vertical="center"/>
    </xf>
    <xf numFmtId="0" fontId="1" fillId="8" borderId="28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1" fillId="2" borderId="67" xfId="0" applyFont="1" applyFill="1" applyBorder="1" applyAlignment="1">
      <alignment horizontal="centerContinuous" vertical="center"/>
    </xf>
    <xf numFmtId="0" fontId="7" fillId="2" borderId="67" xfId="0" applyFont="1" applyFill="1" applyBorder="1" applyAlignment="1">
      <alignment horizontal="centerContinuous" vertical="center"/>
    </xf>
    <xf numFmtId="0" fontId="1" fillId="10" borderId="44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46" xfId="0" applyFont="1" applyFill="1" applyBorder="1" applyAlignment="1">
      <alignment horizontal="center" vertical="center"/>
    </xf>
    <xf numFmtId="0" fontId="3" fillId="10" borderId="43" xfId="0" applyFont="1" applyFill="1" applyBorder="1" applyAlignment="1">
      <alignment horizontal="center" vertical="center"/>
    </xf>
    <xf numFmtId="0" fontId="3" fillId="10" borderId="45" xfId="0" applyFont="1" applyFill="1" applyBorder="1" applyAlignment="1">
      <alignment horizontal="center" vertical="center"/>
    </xf>
    <xf numFmtId="20" fontId="1" fillId="10" borderId="38" xfId="0" applyNumberFormat="1" applyFont="1" applyFill="1" applyBorder="1" applyAlignment="1">
      <alignment horizontal="center" vertical="center"/>
    </xf>
    <xf numFmtId="0" fontId="1" fillId="10" borderId="39" xfId="0" applyFont="1" applyFill="1" applyBorder="1">
      <alignment vertical="center"/>
    </xf>
    <xf numFmtId="0" fontId="1" fillId="10" borderId="39" xfId="0" applyFont="1" applyFill="1" applyBorder="1" applyAlignment="1">
      <alignment horizontal="center" vertical="center"/>
    </xf>
    <xf numFmtId="0" fontId="1" fillId="10" borderId="31" xfId="0" applyFont="1" applyFill="1" applyBorder="1" applyAlignment="1">
      <alignment horizontal="center" vertical="center"/>
    </xf>
    <xf numFmtId="20" fontId="1" fillId="10" borderId="40" xfId="0" applyNumberFormat="1" applyFont="1" applyFill="1" applyBorder="1" applyAlignment="1">
      <alignment horizontal="center" vertical="center"/>
    </xf>
    <xf numFmtId="0" fontId="1" fillId="10" borderId="41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11" xfId="0" applyFont="1" applyFill="1" applyBorder="1">
      <alignment vertical="center"/>
    </xf>
    <xf numFmtId="0" fontId="1" fillId="10" borderId="11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20" fontId="1" fillId="10" borderId="12" xfId="0" applyNumberFormat="1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10" borderId="16" xfId="0" applyFont="1" applyFill="1" applyBorder="1">
      <alignment vertical="center"/>
    </xf>
    <xf numFmtId="0" fontId="1" fillId="10" borderId="16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20" fontId="1" fillId="10" borderId="50" xfId="0" applyNumberFormat="1" applyFont="1" applyFill="1" applyBorder="1" applyAlignment="1">
      <alignment horizontal="center" vertical="center"/>
    </xf>
    <xf numFmtId="0" fontId="1" fillId="10" borderId="51" xfId="0" applyFont="1" applyFill="1" applyBorder="1">
      <alignment vertical="center"/>
    </xf>
    <xf numFmtId="0" fontId="1" fillId="10" borderId="5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20" fontId="1" fillId="10" borderId="52" xfId="0" applyNumberFormat="1" applyFont="1" applyFill="1" applyBorder="1" applyAlignment="1">
      <alignment horizontal="center" vertical="center"/>
    </xf>
    <xf numFmtId="0" fontId="1" fillId="10" borderId="53" xfId="0" applyFont="1" applyFill="1" applyBorder="1" applyAlignment="1">
      <alignment horizontal="center" vertical="center"/>
    </xf>
    <xf numFmtId="20" fontId="1" fillId="10" borderId="49" xfId="0" applyNumberFormat="1" applyFont="1" applyFill="1" applyBorder="1" applyAlignment="1">
      <alignment horizontal="center" vertical="center"/>
    </xf>
    <xf numFmtId="0" fontId="1" fillId="10" borderId="55" xfId="0" applyFont="1" applyFill="1" applyBorder="1">
      <alignment vertical="center"/>
    </xf>
    <xf numFmtId="0" fontId="1" fillId="10" borderId="55" xfId="0" applyFont="1" applyFill="1" applyBorder="1" applyAlignment="1">
      <alignment horizontal="center" vertical="center"/>
    </xf>
    <xf numFmtId="0" fontId="1" fillId="10" borderId="56" xfId="0" applyFont="1" applyFill="1" applyBorder="1" applyAlignment="1">
      <alignment horizontal="center" vertical="center"/>
    </xf>
    <xf numFmtId="20" fontId="1" fillId="10" borderId="57" xfId="0" applyNumberFormat="1" applyFont="1" applyFill="1" applyBorder="1" applyAlignment="1">
      <alignment horizontal="center" vertical="center"/>
    </xf>
    <xf numFmtId="0" fontId="1" fillId="10" borderId="58" xfId="0" applyFont="1" applyFill="1" applyBorder="1" applyAlignment="1">
      <alignment horizontal="center" vertical="center"/>
    </xf>
    <xf numFmtId="0" fontId="1" fillId="10" borderId="33" xfId="0" applyFont="1" applyFill="1" applyBorder="1" applyAlignment="1">
      <alignment horizontal="center" vertical="center"/>
    </xf>
    <xf numFmtId="0" fontId="1" fillId="10" borderId="34" xfId="0" applyFont="1" applyFill="1" applyBorder="1">
      <alignment vertical="center"/>
    </xf>
    <xf numFmtId="0" fontId="1" fillId="10" borderId="34" xfId="0" applyFont="1" applyFill="1" applyBorder="1" applyAlignment="1">
      <alignment horizontal="center" vertical="center"/>
    </xf>
    <xf numFmtId="0" fontId="1" fillId="10" borderId="30" xfId="0" applyFont="1" applyFill="1" applyBorder="1" applyAlignment="1">
      <alignment horizontal="center" vertical="center"/>
    </xf>
    <xf numFmtId="0" fontId="1" fillId="10" borderId="35" xfId="0" applyFont="1" applyFill="1" applyBorder="1" applyAlignment="1">
      <alignment horizontal="center" vertical="center"/>
    </xf>
    <xf numFmtId="0" fontId="1" fillId="10" borderId="36" xfId="0" applyFont="1" applyFill="1" applyBorder="1" applyAlignment="1">
      <alignment horizontal="center" vertical="center"/>
    </xf>
    <xf numFmtId="20" fontId="1" fillId="11" borderId="40" xfId="0" applyNumberFormat="1" applyFont="1" applyFill="1" applyBorder="1" applyAlignment="1">
      <alignment horizontal="center" vertical="center"/>
    </xf>
    <xf numFmtId="0" fontId="1" fillId="11" borderId="42" xfId="0" applyFont="1" applyFill="1" applyBorder="1">
      <alignment vertical="center"/>
    </xf>
    <xf numFmtId="0" fontId="1" fillId="11" borderId="39" xfId="0" applyFont="1" applyFill="1" applyBorder="1" applyAlignment="1">
      <alignment horizontal="center" vertical="center"/>
    </xf>
    <xf numFmtId="0" fontId="1" fillId="11" borderId="41" xfId="0" applyFont="1" applyFill="1" applyBorder="1" applyAlignment="1">
      <alignment horizontal="center" vertical="center"/>
    </xf>
    <xf numFmtId="20" fontId="1" fillId="11" borderId="12" xfId="0" applyNumberFormat="1" applyFont="1" applyFill="1" applyBorder="1" applyAlignment="1">
      <alignment horizontal="center" vertical="center"/>
    </xf>
    <xf numFmtId="0" fontId="1" fillId="11" borderId="26" xfId="0" applyFont="1" applyFill="1" applyBorder="1">
      <alignment vertical="center"/>
    </xf>
    <xf numFmtId="0" fontId="1" fillId="11" borderId="11" xfId="0" applyFont="1" applyFill="1" applyBorder="1" applyAlignment="1">
      <alignment horizontal="center" vertical="center"/>
    </xf>
    <xf numFmtId="0" fontId="1" fillId="11" borderId="13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1" fillId="11" borderId="27" xfId="0" applyFont="1" applyFill="1" applyBorder="1">
      <alignment vertical="center"/>
    </xf>
    <xf numFmtId="0" fontId="1" fillId="11" borderId="16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20" fontId="1" fillId="11" borderId="52" xfId="0" applyNumberFormat="1" applyFont="1" applyFill="1" applyBorder="1" applyAlignment="1">
      <alignment horizontal="center" vertical="center"/>
    </xf>
    <xf numFmtId="0" fontId="1" fillId="11" borderId="51" xfId="0" applyFont="1" applyFill="1" applyBorder="1">
      <alignment vertical="center"/>
    </xf>
    <xf numFmtId="0" fontId="1" fillId="11" borderId="51" xfId="0" applyFont="1" applyFill="1" applyBorder="1" applyAlignment="1">
      <alignment horizontal="center" vertical="center"/>
    </xf>
    <xf numFmtId="0" fontId="1" fillId="11" borderId="53" xfId="0" applyFont="1" applyFill="1" applyBorder="1" applyAlignment="1">
      <alignment horizontal="center" vertical="center"/>
    </xf>
    <xf numFmtId="20" fontId="1" fillId="11" borderId="57" xfId="0" applyNumberFormat="1" applyFont="1" applyFill="1" applyBorder="1" applyAlignment="1">
      <alignment horizontal="center" vertical="center"/>
    </xf>
    <xf numFmtId="0" fontId="1" fillId="11" borderId="55" xfId="0" applyFont="1" applyFill="1" applyBorder="1">
      <alignment vertical="center"/>
    </xf>
    <xf numFmtId="0" fontId="1" fillId="11" borderId="55" xfId="0" applyFont="1" applyFill="1" applyBorder="1" applyAlignment="1">
      <alignment horizontal="center" vertical="center"/>
    </xf>
    <xf numFmtId="0" fontId="1" fillId="11" borderId="58" xfId="0" applyFont="1" applyFill="1" applyBorder="1" applyAlignment="1">
      <alignment horizontal="center" vertical="center"/>
    </xf>
    <xf numFmtId="0" fontId="1" fillId="11" borderId="35" xfId="0" applyFont="1" applyFill="1" applyBorder="1" applyAlignment="1">
      <alignment horizontal="center" vertical="center"/>
    </xf>
    <xf numFmtId="0" fontId="1" fillId="11" borderId="34" xfId="0" applyFont="1" applyFill="1" applyBorder="1">
      <alignment vertical="center"/>
    </xf>
    <xf numFmtId="0" fontId="1" fillId="11" borderId="34" xfId="0" applyFont="1" applyFill="1" applyBorder="1" applyAlignment="1">
      <alignment horizontal="center" vertical="center"/>
    </xf>
    <xf numFmtId="0" fontId="1" fillId="11" borderId="36" xfId="0" applyFont="1" applyFill="1" applyBorder="1" applyAlignment="1">
      <alignment horizontal="center" vertical="center"/>
    </xf>
    <xf numFmtId="20" fontId="1" fillId="12" borderId="61" xfId="0" applyNumberFormat="1" applyFont="1" applyFill="1" applyBorder="1" applyAlignment="1">
      <alignment horizontal="center" vertical="center"/>
    </xf>
    <xf numFmtId="0" fontId="1" fillId="12" borderId="62" xfId="0" applyFont="1" applyFill="1" applyBorder="1">
      <alignment vertical="center"/>
    </xf>
    <xf numFmtId="0" fontId="1" fillId="12" borderId="62" xfId="0" applyFont="1" applyFill="1" applyBorder="1" applyAlignment="1">
      <alignment horizontal="center" vertical="center"/>
    </xf>
    <xf numFmtId="0" fontId="1" fillId="12" borderId="60" xfId="0" applyFont="1" applyFill="1" applyBorder="1" applyAlignment="1">
      <alignment horizontal="center" vertical="center"/>
    </xf>
    <xf numFmtId="20" fontId="1" fillId="12" borderId="49" xfId="0" applyNumberFormat="1" applyFont="1" applyFill="1" applyBorder="1" applyAlignment="1">
      <alignment horizontal="center" vertical="center"/>
    </xf>
    <xf numFmtId="0" fontId="1" fillId="12" borderId="55" xfId="0" applyFont="1" applyFill="1" applyBorder="1">
      <alignment vertical="center"/>
    </xf>
    <xf numFmtId="0" fontId="1" fillId="12" borderId="55" xfId="0" applyFont="1" applyFill="1" applyBorder="1" applyAlignment="1">
      <alignment horizontal="center" vertical="center"/>
    </xf>
    <xf numFmtId="0" fontId="1" fillId="12" borderId="56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12" borderId="6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2" borderId="25" xfId="0" applyFont="1" applyFill="1" applyBorder="1" applyAlignment="1">
      <alignment horizontal="center" vertical="center"/>
    </xf>
    <xf numFmtId="20" fontId="1" fillId="12" borderId="40" xfId="0" applyNumberFormat="1" applyFont="1" applyFill="1" applyBorder="1" applyAlignment="1">
      <alignment horizontal="center" vertical="center"/>
    </xf>
    <xf numFmtId="0" fontId="1" fillId="12" borderId="39" xfId="0" applyFont="1" applyFill="1" applyBorder="1">
      <alignment vertical="center"/>
    </xf>
    <xf numFmtId="0" fontId="1" fillId="12" borderId="39" xfId="0" applyFont="1" applyFill="1" applyBorder="1" applyAlignment="1">
      <alignment horizontal="center" vertical="center"/>
    </xf>
    <xf numFmtId="0" fontId="1" fillId="12" borderId="41" xfId="0" applyFont="1" applyFill="1" applyBorder="1" applyAlignment="1">
      <alignment horizontal="center" vertical="center"/>
    </xf>
    <xf numFmtId="0" fontId="1" fillId="12" borderId="42" xfId="0" applyFont="1" applyFill="1" applyBorder="1" applyAlignment="1">
      <alignment horizontal="center" vertical="center"/>
    </xf>
    <xf numFmtId="20" fontId="1" fillId="12" borderId="12" xfId="0" applyNumberFormat="1" applyFont="1" applyFill="1" applyBorder="1" applyAlignment="1">
      <alignment horizontal="center" vertical="center"/>
    </xf>
    <xf numFmtId="0" fontId="1" fillId="12" borderId="11" xfId="0" applyFont="1" applyFill="1" applyBorder="1">
      <alignment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12" borderId="12" xfId="0" applyFont="1" applyFill="1" applyBorder="1" applyAlignment="1">
      <alignment horizontal="center" vertical="center"/>
    </xf>
    <xf numFmtId="0" fontId="1" fillId="12" borderId="26" xfId="0" applyFont="1" applyFill="1" applyBorder="1" applyAlignment="1">
      <alignment horizontal="center" vertical="center"/>
    </xf>
    <xf numFmtId="0" fontId="1" fillId="12" borderId="17" xfId="0" applyFont="1" applyFill="1" applyBorder="1" applyAlignment="1">
      <alignment horizontal="center" vertical="center"/>
    </xf>
    <xf numFmtId="0" fontId="1" fillId="12" borderId="16" xfId="0" applyFont="1" applyFill="1" applyBorder="1">
      <alignment vertical="center"/>
    </xf>
    <xf numFmtId="0" fontId="1" fillId="12" borderId="16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2" borderId="27" xfId="0" applyFont="1" applyFill="1" applyBorder="1" applyAlignment="1">
      <alignment horizontal="center" vertical="center"/>
    </xf>
    <xf numFmtId="20" fontId="1" fillId="12" borderId="63" xfId="0" applyNumberFormat="1" applyFont="1" applyFill="1" applyBorder="1" applyAlignment="1">
      <alignment horizontal="center" vertical="center"/>
    </xf>
    <xf numFmtId="0" fontId="1" fillId="12" borderId="64" xfId="0" applyFont="1" applyFill="1" applyBorder="1" applyAlignment="1">
      <alignment horizontal="center" vertical="center"/>
    </xf>
    <xf numFmtId="0" fontId="1" fillId="12" borderId="65" xfId="0" applyFont="1" applyFill="1" applyBorder="1" applyAlignment="1">
      <alignment horizontal="center" vertical="center"/>
    </xf>
    <xf numFmtId="20" fontId="1" fillId="12" borderId="57" xfId="0" applyNumberFormat="1" applyFont="1" applyFill="1" applyBorder="1" applyAlignment="1">
      <alignment horizontal="center" vertical="center"/>
    </xf>
    <xf numFmtId="0" fontId="1" fillId="12" borderId="58" xfId="0" applyFont="1" applyFill="1" applyBorder="1" applyAlignment="1">
      <alignment horizontal="center" vertical="center"/>
    </xf>
    <xf numFmtId="0" fontId="1" fillId="12" borderId="59" xfId="0" applyFont="1" applyFill="1" applyBorder="1" applyAlignment="1">
      <alignment horizontal="center" vertical="center"/>
    </xf>
    <xf numFmtId="0" fontId="1" fillId="12" borderId="23" xfId="0" applyFont="1" applyFill="1" applyBorder="1" applyAlignment="1">
      <alignment horizontal="center" vertical="center"/>
    </xf>
    <xf numFmtId="0" fontId="1" fillId="12" borderId="22" xfId="0" applyFont="1" applyFill="1" applyBorder="1">
      <alignment vertical="center"/>
    </xf>
    <xf numFmtId="0" fontId="1" fillId="12" borderId="22" xfId="0" applyFont="1" applyFill="1" applyBorder="1" applyAlignment="1">
      <alignment horizontal="center" vertical="center"/>
    </xf>
    <xf numFmtId="0" fontId="1" fillId="12" borderId="24" xfId="0" applyFont="1" applyFill="1" applyBorder="1" applyAlignment="1">
      <alignment horizontal="center" vertical="center"/>
    </xf>
    <xf numFmtId="20" fontId="1" fillId="12" borderId="23" xfId="0" applyNumberFormat="1" applyFont="1" applyFill="1" applyBorder="1" applyAlignment="1">
      <alignment horizontal="center" vertical="center"/>
    </xf>
    <xf numFmtId="0" fontId="1" fillId="12" borderId="28" xfId="0" applyFont="1" applyFill="1" applyBorder="1" applyAlignment="1">
      <alignment horizontal="center" vertical="center"/>
    </xf>
    <xf numFmtId="20" fontId="1" fillId="0" borderId="10" xfId="0" applyNumberFormat="1" applyFont="1" applyBorder="1" applyAlignment="1">
      <alignment horizontal="center" vertical="center"/>
    </xf>
    <xf numFmtId="20" fontId="1" fillId="12" borderId="38" xfId="0" applyNumberFormat="1" applyFont="1" applyFill="1" applyBorder="1" applyAlignment="1">
      <alignment horizontal="center" vertical="center"/>
    </xf>
    <xf numFmtId="0" fontId="1" fillId="12" borderId="31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0" fontId="1" fillId="12" borderId="14" xfId="0" applyFont="1" applyFill="1" applyBorder="1" applyAlignment="1">
      <alignment horizontal="center" vertical="center"/>
    </xf>
    <xf numFmtId="0" fontId="1" fillId="12" borderId="21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8" fillId="14" borderId="11" xfId="0" applyFont="1" applyFill="1" applyBorder="1">
      <alignment vertical="center"/>
    </xf>
    <xf numFmtId="0" fontId="1" fillId="6" borderId="55" xfId="0" applyFont="1" applyFill="1" applyBorder="1">
      <alignment vertical="center"/>
    </xf>
    <xf numFmtId="0" fontId="1" fillId="6" borderId="55" xfId="0" applyFont="1" applyFill="1" applyBorder="1" applyAlignment="1">
      <alignment horizontal="center" vertical="center"/>
    </xf>
    <xf numFmtId="20" fontId="1" fillId="6" borderId="57" xfId="0" applyNumberFormat="1" applyFont="1" applyFill="1" applyBorder="1" applyAlignment="1">
      <alignment horizontal="center" vertical="center"/>
    </xf>
    <xf numFmtId="0" fontId="1" fillId="6" borderId="59" xfId="0" applyFont="1" applyFill="1" applyBorder="1" applyAlignment="1">
      <alignment horizontal="center" vertical="center"/>
    </xf>
    <xf numFmtId="0" fontId="1" fillId="9" borderId="39" xfId="0" applyFont="1" applyFill="1" applyBorder="1">
      <alignment vertical="center"/>
    </xf>
    <xf numFmtId="20" fontId="1" fillId="0" borderId="15" xfId="0" applyNumberFormat="1" applyFont="1" applyBorder="1" applyAlignment="1">
      <alignment horizontal="center" vertical="center"/>
    </xf>
    <xf numFmtId="20" fontId="4" fillId="6" borderId="38" xfId="0" applyNumberFormat="1" applyFont="1" applyFill="1" applyBorder="1" applyAlignment="1">
      <alignment horizontal="center" vertical="center"/>
    </xf>
    <xf numFmtId="20" fontId="1" fillId="0" borderId="17" xfId="0" applyNumberFormat="1" applyFont="1" applyBorder="1" applyAlignment="1">
      <alignment horizontal="center" vertical="center"/>
    </xf>
    <xf numFmtId="20" fontId="4" fillId="0" borderId="12" xfId="0" applyNumberFormat="1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20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20" fontId="9" fillId="5" borderId="57" xfId="0" applyNumberFormat="1" applyFont="1" applyFill="1" applyBorder="1" applyAlignment="1">
      <alignment horizontal="center" vertical="center"/>
    </xf>
    <xf numFmtId="0" fontId="9" fillId="5" borderId="55" xfId="0" applyFont="1" applyFill="1" applyBorder="1">
      <alignment vertical="center"/>
    </xf>
    <xf numFmtId="0" fontId="9" fillId="5" borderId="55" xfId="0" applyFont="1" applyFill="1" applyBorder="1" applyAlignment="1">
      <alignment horizontal="center" vertical="center"/>
    </xf>
    <xf numFmtId="0" fontId="9" fillId="5" borderId="58" xfId="0" applyFont="1" applyFill="1" applyBorder="1" applyAlignment="1">
      <alignment horizontal="center" vertical="center"/>
    </xf>
    <xf numFmtId="20" fontId="9" fillId="0" borderId="40" xfId="0" applyNumberFormat="1" applyFont="1" applyBorder="1" applyAlignment="1">
      <alignment horizontal="center" vertical="center"/>
    </xf>
    <xf numFmtId="0" fontId="9" fillId="0" borderId="39" xfId="0" applyFont="1" applyBorder="1">
      <alignment vertical="center"/>
    </xf>
    <xf numFmtId="0" fontId="9" fillId="0" borderId="39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20" fontId="10" fillId="6" borderId="57" xfId="0" applyNumberFormat="1" applyFont="1" applyFill="1" applyBorder="1" applyAlignment="1">
      <alignment horizontal="center" vertical="center"/>
    </xf>
    <xf numFmtId="0" fontId="10" fillId="6" borderId="55" xfId="0" applyFont="1" applyFill="1" applyBorder="1">
      <alignment vertical="center"/>
    </xf>
    <xf numFmtId="0" fontId="1" fillId="15" borderId="16" xfId="0" applyFont="1" applyFill="1" applyBorder="1">
      <alignment vertical="center"/>
    </xf>
    <xf numFmtId="0" fontId="1" fillId="15" borderId="16" xfId="0" applyFont="1" applyFill="1" applyBorder="1" applyAlignment="1">
      <alignment horizontal="center" vertical="center"/>
    </xf>
    <xf numFmtId="0" fontId="1" fillId="15" borderId="18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center"/>
    </xf>
    <xf numFmtId="0" fontId="1" fillId="15" borderId="11" xfId="0" applyFont="1" applyFill="1" applyBorder="1">
      <alignment vertical="center"/>
    </xf>
    <xf numFmtId="0" fontId="1" fillId="15" borderId="11" xfId="0" applyFont="1" applyFill="1" applyBorder="1" applyAlignment="1">
      <alignment horizontal="center" vertical="center"/>
    </xf>
    <xf numFmtId="0" fontId="1" fillId="15" borderId="26" xfId="0" applyFont="1" applyFill="1" applyBorder="1" applyAlignment="1">
      <alignment horizontal="center" vertical="center"/>
    </xf>
    <xf numFmtId="0" fontId="3" fillId="3" borderId="68" xfId="0" applyFont="1" applyFill="1" applyBorder="1" applyAlignment="1">
      <alignment horizontal="center" vertical="center"/>
    </xf>
    <xf numFmtId="0" fontId="1" fillId="2" borderId="69" xfId="0" applyFont="1" applyFill="1" applyBorder="1" applyAlignment="1">
      <alignment horizontal="center" vertical="center"/>
    </xf>
    <xf numFmtId="0" fontId="1" fillId="2" borderId="70" xfId="0" applyFont="1" applyFill="1" applyBorder="1" applyAlignment="1">
      <alignment horizontal="center" vertical="center"/>
    </xf>
    <xf numFmtId="0" fontId="3" fillId="3" borderId="71" xfId="0" applyFont="1" applyFill="1" applyBorder="1" applyAlignment="1">
      <alignment horizontal="center" vertical="center"/>
    </xf>
    <xf numFmtId="0" fontId="1" fillId="2" borderId="72" xfId="0" applyFont="1" applyFill="1" applyBorder="1" applyAlignment="1">
      <alignment horizontal="center" vertical="center"/>
    </xf>
    <xf numFmtId="0" fontId="1" fillId="2" borderId="73" xfId="0" applyFont="1" applyFill="1" applyBorder="1" applyAlignment="1">
      <alignment horizontal="center" vertical="center"/>
    </xf>
    <xf numFmtId="20" fontId="1" fillId="0" borderId="74" xfId="0" applyNumberFormat="1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20" fontId="1" fillId="5" borderId="82" xfId="0" applyNumberFormat="1" applyFont="1" applyFill="1" applyBorder="1" applyAlignment="1">
      <alignment horizontal="center" vertical="center"/>
    </xf>
    <xf numFmtId="0" fontId="1" fillId="5" borderId="83" xfId="0" applyFont="1" applyFill="1" applyBorder="1" applyAlignment="1">
      <alignment horizontal="center" vertical="center"/>
    </xf>
    <xf numFmtId="20" fontId="1" fillId="5" borderId="84" xfId="0" applyNumberFormat="1" applyFont="1" applyFill="1" applyBorder="1" applyAlignment="1">
      <alignment horizontal="center" vertical="center"/>
    </xf>
    <xf numFmtId="0" fontId="1" fillId="5" borderId="85" xfId="0" applyFont="1" applyFill="1" applyBorder="1" applyAlignment="1">
      <alignment horizontal="center" vertical="center"/>
    </xf>
    <xf numFmtId="20" fontId="1" fillId="0" borderId="86" xfId="0" applyNumberFormat="1" applyFont="1" applyBorder="1" applyAlignment="1">
      <alignment horizontal="center" vertical="center"/>
    </xf>
    <xf numFmtId="0" fontId="1" fillId="0" borderId="87" xfId="0" applyFont="1" applyBorder="1">
      <alignment vertical="center"/>
    </xf>
    <xf numFmtId="0" fontId="1" fillId="0" borderId="87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4" borderId="67" xfId="0" applyFont="1" applyFill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3" fillId="3" borderId="92" xfId="0" applyFont="1" applyFill="1" applyBorder="1" applyAlignment="1">
      <alignment horizontal="center" vertical="center"/>
    </xf>
    <xf numFmtId="20" fontId="1" fillId="0" borderId="93" xfId="0" applyNumberFormat="1" applyFont="1" applyBorder="1" applyAlignment="1">
      <alignment horizontal="center" vertical="center"/>
    </xf>
    <xf numFmtId="20" fontId="1" fillId="5" borderId="95" xfId="0" applyNumberFormat="1" applyFont="1" applyFill="1" applyBorder="1" applyAlignment="1">
      <alignment horizontal="center" vertical="center"/>
    </xf>
    <xf numFmtId="20" fontId="1" fillId="5" borderId="96" xfId="0" applyNumberFormat="1" applyFont="1" applyFill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3" fillId="3" borderId="98" xfId="0" applyFont="1" applyFill="1" applyBorder="1" applyAlignment="1">
      <alignment horizontal="center" vertical="center"/>
    </xf>
    <xf numFmtId="0" fontId="1" fillId="2" borderId="99" xfId="0" applyFont="1" applyFill="1" applyBorder="1" applyAlignment="1">
      <alignment horizontal="center" vertical="center"/>
    </xf>
    <xf numFmtId="0" fontId="3" fillId="3" borderId="100" xfId="0" applyFont="1" applyFill="1" applyBorder="1" applyAlignment="1">
      <alignment horizontal="center" vertical="center"/>
    </xf>
    <xf numFmtId="0" fontId="1" fillId="2" borderId="101" xfId="0" applyFont="1" applyFill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20" fontId="1" fillId="5" borderId="106" xfId="0" applyNumberFormat="1" applyFont="1" applyFill="1" applyBorder="1" applyAlignment="1">
      <alignment horizontal="center" vertical="center"/>
    </xf>
    <xf numFmtId="0" fontId="1" fillId="5" borderId="107" xfId="0" applyFont="1" applyFill="1" applyBorder="1" applyAlignment="1">
      <alignment horizontal="center" vertical="center"/>
    </xf>
    <xf numFmtId="20" fontId="1" fillId="5" borderId="108" xfId="0" applyNumberFormat="1" applyFont="1" applyFill="1" applyBorder="1" applyAlignment="1">
      <alignment horizontal="center" vertical="center"/>
    </xf>
    <xf numFmtId="0" fontId="1" fillId="5" borderId="109" xfId="0" applyFont="1" applyFill="1" applyBorder="1" applyAlignment="1">
      <alignment horizontal="center" vertical="center"/>
    </xf>
    <xf numFmtId="0" fontId="1" fillId="0" borderId="110" xfId="0" applyFont="1" applyBorder="1" applyAlignment="1">
      <alignment horizontal="center" vertical="center"/>
    </xf>
    <xf numFmtId="0" fontId="1" fillId="0" borderId="111" xfId="0" applyFont="1" applyBorder="1" applyAlignment="1">
      <alignment horizontal="center" vertical="center"/>
    </xf>
    <xf numFmtId="20" fontId="9" fillId="0" borderId="102" xfId="0" applyNumberFormat="1" applyFont="1" applyBorder="1" applyAlignment="1">
      <alignment horizontal="center" vertical="center"/>
    </xf>
    <xf numFmtId="0" fontId="9" fillId="0" borderId="103" xfId="0" applyFont="1" applyBorder="1" applyAlignment="1">
      <alignment horizontal="center" vertical="center"/>
    </xf>
    <xf numFmtId="20" fontId="1" fillId="15" borderId="17" xfId="0" applyNumberFormat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20" fontId="1" fillId="0" borderId="112" xfId="0" applyNumberFormat="1" applyFont="1" applyBorder="1" applyAlignment="1">
      <alignment horizontal="center" vertical="center"/>
    </xf>
    <xf numFmtId="20" fontId="1" fillId="0" borderId="113" xfId="0" applyNumberFormat="1" applyFont="1" applyBorder="1" applyAlignment="1">
      <alignment horizontal="center" vertical="center"/>
    </xf>
    <xf numFmtId="0" fontId="1" fillId="0" borderId="114" xfId="0" applyFont="1" applyBorder="1">
      <alignment vertical="center"/>
    </xf>
    <xf numFmtId="0" fontId="1" fillId="0" borderId="94" xfId="0" applyFont="1" applyBorder="1" applyAlignment="1">
      <alignment horizontal="center" vertical="center"/>
    </xf>
    <xf numFmtId="20" fontId="9" fillId="9" borderId="12" xfId="0" applyNumberFormat="1" applyFont="1" applyFill="1" applyBorder="1" applyAlignment="1">
      <alignment horizontal="center" vertical="center"/>
    </xf>
    <xf numFmtId="0" fontId="9" fillId="9" borderId="11" xfId="0" applyFont="1" applyFill="1" applyBorder="1">
      <alignment vertical="center"/>
    </xf>
    <xf numFmtId="0" fontId="9" fillId="9" borderId="11" xfId="0" applyFont="1" applyFill="1" applyBorder="1" applyAlignment="1">
      <alignment horizontal="center" vertical="center"/>
    </xf>
    <xf numFmtId="0" fontId="9" fillId="9" borderId="13" xfId="0" applyFont="1" applyFill="1" applyBorder="1" applyAlignment="1">
      <alignment horizontal="center" vertical="center"/>
    </xf>
    <xf numFmtId="20" fontId="12" fillId="0" borderId="76" xfId="0" applyNumberFormat="1" applyFont="1" applyBorder="1" applyAlignment="1">
      <alignment horizontal="center" vertical="center"/>
    </xf>
    <xf numFmtId="0" fontId="12" fillId="0" borderId="11" xfId="0" applyFont="1" applyBorder="1">
      <alignment vertical="center"/>
    </xf>
    <xf numFmtId="0" fontId="12" fillId="0" borderId="11" xfId="0" applyFont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20" fontId="8" fillId="0" borderId="78" xfId="0" applyNumberFormat="1" applyFont="1" applyBorder="1" applyAlignment="1">
      <alignment horizontal="center" vertical="center"/>
    </xf>
    <xf numFmtId="0" fontId="8" fillId="0" borderId="16" xfId="0" applyFont="1" applyBorder="1">
      <alignment vertical="center"/>
    </xf>
    <xf numFmtId="0" fontId="8" fillId="0" borderId="16" xfId="0" applyFont="1" applyBorder="1" applyAlignment="1">
      <alignment horizontal="center" vertical="center"/>
    </xf>
    <xf numFmtId="0" fontId="8" fillId="0" borderId="79" xfId="0" applyFont="1" applyBorder="1" applyAlignment="1">
      <alignment horizontal="center" vertical="center"/>
    </xf>
    <xf numFmtId="20" fontId="1" fillId="6" borderId="40" xfId="0" applyNumberFormat="1" applyFont="1" applyFill="1" applyBorder="1" applyAlignment="1">
      <alignment horizontal="center" vertical="center"/>
    </xf>
    <xf numFmtId="0" fontId="1" fillId="6" borderId="39" xfId="0" applyFont="1" applyFill="1" applyBorder="1">
      <alignment vertical="center"/>
    </xf>
    <xf numFmtId="0" fontId="1" fillId="6" borderId="39" xfId="0" applyFont="1" applyFill="1" applyBorder="1" applyAlignment="1">
      <alignment horizontal="center" vertical="center"/>
    </xf>
    <xf numFmtId="0" fontId="1" fillId="6" borderId="41" xfId="0" applyFont="1" applyFill="1" applyBorder="1" applyAlignment="1">
      <alignment horizontal="center" vertical="center"/>
    </xf>
    <xf numFmtId="20" fontId="9" fillId="0" borderId="38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3" fillId="0" borderId="11" xfId="0" applyFont="1" applyBorder="1">
      <alignment vertical="center"/>
    </xf>
    <xf numFmtId="0" fontId="13" fillId="0" borderId="11" xfId="0" applyFont="1" applyBorder="1" applyAlignment="1">
      <alignment horizontal="center" vertical="center"/>
    </xf>
    <xf numFmtId="20" fontId="1" fillId="0" borderId="116" xfId="0" applyNumberFormat="1" applyFont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0" fontId="1" fillId="0" borderId="117" xfId="0" applyNumberFormat="1" applyFont="1" applyBorder="1" applyAlignment="1">
      <alignment horizontal="center" vertical="center"/>
    </xf>
    <xf numFmtId="0" fontId="1" fillId="0" borderId="118" xfId="0" applyFont="1" applyBorder="1">
      <alignment vertical="center"/>
    </xf>
    <xf numFmtId="0" fontId="1" fillId="0" borderId="118" xfId="0" applyFont="1" applyBorder="1" applyAlignment="1">
      <alignment horizontal="center" vertical="center"/>
    </xf>
    <xf numFmtId="0" fontId="1" fillId="0" borderId="119" xfId="0" applyFont="1" applyBorder="1" applyAlignment="1">
      <alignment horizontal="center" vertical="center"/>
    </xf>
    <xf numFmtId="20" fontId="13" fillId="0" borderId="120" xfId="0" applyNumberFormat="1" applyFont="1" applyBorder="1" applyAlignment="1">
      <alignment horizontal="center" vertical="center"/>
    </xf>
    <xf numFmtId="0" fontId="13" fillId="0" borderId="104" xfId="0" applyFont="1" applyBorder="1" applyAlignment="1">
      <alignment horizontal="center" vertical="center"/>
    </xf>
    <xf numFmtId="0" fontId="1" fillId="0" borderId="121" xfId="0" applyFont="1" applyBorder="1" applyAlignment="1">
      <alignment horizontal="center" vertical="center"/>
    </xf>
    <xf numFmtId="20" fontId="1" fillId="5" borderId="122" xfId="0" applyNumberFormat="1" applyFont="1" applyFill="1" applyBorder="1" applyAlignment="1">
      <alignment horizontal="center" vertical="center"/>
    </xf>
    <xf numFmtId="0" fontId="1" fillId="5" borderId="123" xfId="0" applyFont="1" applyFill="1" applyBorder="1">
      <alignment vertical="center"/>
    </xf>
    <xf numFmtId="0" fontId="1" fillId="5" borderId="123" xfId="0" applyFont="1" applyFill="1" applyBorder="1" applyAlignment="1">
      <alignment horizontal="center" vertical="center"/>
    </xf>
    <xf numFmtId="0" fontId="1" fillId="5" borderId="124" xfId="0" applyFont="1" applyFill="1" applyBorder="1" applyAlignment="1">
      <alignment horizontal="center" vertical="center"/>
    </xf>
    <xf numFmtId="0" fontId="12" fillId="9" borderId="16" xfId="0" applyFont="1" applyFill="1" applyBorder="1">
      <alignment vertical="center"/>
    </xf>
    <xf numFmtId="20" fontId="1" fillId="9" borderId="63" xfId="0" applyNumberFormat="1" applyFont="1" applyFill="1" applyBorder="1" applyAlignment="1">
      <alignment horizontal="center" vertical="center"/>
    </xf>
    <xf numFmtId="0" fontId="1" fillId="9" borderId="62" xfId="0" applyFont="1" applyFill="1" applyBorder="1">
      <alignment vertical="center"/>
    </xf>
    <xf numFmtId="0" fontId="1" fillId="9" borderId="62" xfId="0" applyFont="1" applyFill="1" applyBorder="1" applyAlignment="1">
      <alignment horizontal="center" vertical="center"/>
    </xf>
    <xf numFmtId="0" fontId="1" fillId="9" borderId="65" xfId="0" applyFont="1" applyFill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20" fontId="12" fillId="16" borderId="94" xfId="0" applyNumberFormat="1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20" fontId="1" fillId="6" borderId="125" xfId="0" applyNumberFormat="1" applyFont="1" applyFill="1" applyBorder="1" applyAlignment="1">
      <alignment horizontal="center" vertical="center"/>
    </xf>
    <xf numFmtId="0" fontId="1" fillId="6" borderId="118" xfId="0" applyFont="1" applyFill="1" applyBorder="1">
      <alignment vertical="center"/>
    </xf>
    <xf numFmtId="0" fontId="1" fillId="0" borderId="126" xfId="0" applyFont="1" applyBorder="1" applyAlignment="1">
      <alignment horizontal="center" vertical="center"/>
    </xf>
    <xf numFmtId="20" fontId="1" fillId="0" borderId="76" xfId="0" applyNumberFormat="1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20" fontId="12" fillId="9" borderId="78" xfId="0" applyNumberFormat="1" applyFont="1" applyFill="1" applyBorder="1" applyAlignment="1">
      <alignment horizontal="center" vertical="center"/>
    </xf>
    <xf numFmtId="0" fontId="1" fillId="5" borderId="128" xfId="0" applyFont="1" applyFill="1" applyBorder="1" applyAlignment="1">
      <alignment horizontal="center" vertical="center"/>
    </xf>
    <xf numFmtId="20" fontId="1" fillId="9" borderId="117" xfId="0" applyNumberFormat="1" applyFont="1" applyFill="1" applyBorder="1" applyAlignment="1">
      <alignment horizontal="center" vertical="center"/>
    </xf>
    <xf numFmtId="0" fontId="1" fillId="9" borderId="118" xfId="0" applyFont="1" applyFill="1" applyBorder="1">
      <alignment vertical="center"/>
    </xf>
    <xf numFmtId="20" fontId="1" fillId="0" borderId="120" xfId="0" applyNumberFormat="1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20" fontId="1" fillId="0" borderId="125" xfId="0" applyNumberFormat="1" applyFont="1" applyBorder="1" applyAlignment="1">
      <alignment horizontal="center" vertical="center"/>
    </xf>
    <xf numFmtId="20" fontId="4" fillId="5" borderId="127" xfId="0" applyNumberFormat="1" applyFont="1" applyFill="1" applyBorder="1" applyAlignment="1">
      <alignment horizontal="center" vertical="center"/>
    </xf>
    <xf numFmtId="0" fontId="4" fillId="5" borderId="123" xfId="0" applyFont="1" applyFill="1" applyBorder="1">
      <alignment vertical="center"/>
    </xf>
    <xf numFmtId="20" fontId="9" fillId="5" borderId="106" xfId="0" applyNumberFormat="1" applyFont="1" applyFill="1" applyBorder="1" applyAlignment="1">
      <alignment horizontal="center" vertical="center"/>
    </xf>
    <xf numFmtId="0" fontId="9" fillId="5" borderId="62" xfId="0" applyFont="1" applyFill="1" applyBorder="1">
      <alignment vertical="center"/>
    </xf>
    <xf numFmtId="0" fontId="9" fillId="5" borderId="62" xfId="0" applyFont="1" applyFill="1" applyBorder="1" applyAlignment="1">
      <alignment horizontal="center" vertical="center"/>
    </xf>
    <xf numFmtId="0" fontId="9" fillId="5" borderId="107" xfId="0" applyFont="1" applyFill="1" applyBorder="1" applyAlignment="1">
      <alignment horizontal="center" vertical="center"/>
    </xf>
    <xf numFmtId="20" fontId="13" fillId="5" borderId="127" xfId="0" applyNumberFormat="1" applyFont="1" applyFill="1" applyBorder="1" applyAlignment="1">
      <alignment horizontal="center" vertical="center"/>
    </xf>
    <xf numFmtId="0" fontId="13" fillId="5" borderId="123" xfId="0" applyFont="1" applyFill="1" applyBorder="1">
      <alignment vertical="center"/>
    </xf>
    <xf numFmtId="0" fontId="1" fillId="6" borderId="118" xfId="0" applyFont="1" applyFill="1" applyBorder="1" applyAlignment="1">
      <alignment horizontal="center" vertical="center"/>
    </xf>
    <xf numFmtId="0" fontId="1" fillId="6" borderId="126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4" fillId="9" borderId="79" xfId="0" applyFont="1" applyFill="1" applyBorder="1" applyAlignment="1">
      <alignment horizontal="center" vertical="center"/>
    </xf>
    <xf numFmtId="0" fontId="11" fillId="9" borderId="118" xfId="0" applyFont="1" applyFill="1" applyBorder="1" applyAlignment="1">
      <alignment horizontal="center" vertical="center"/>
    </xf>
    <xf numFmtId="0" fontId="11" fillId="9" borderId="119" xfId="0" applyFont="1" applyFill="1" applyBorder="1" applyAlignment="1">
      <alignment horizontal="center" vertical="center"/>
    </xf>
    <xf numFmtId="20" fontId="4" fillId="6" borderId="94" xfId="0" applyNumberFormat="1" applyFont="1" applyFill="1" applyBorder="1" applyAlignment="1">
      <alignment horizontal="center" vertical="center"/>
    </xf>
    <xf numFmtId="0" fontId="4" fillId="6" borderId="16" xfId="0" applyFont="1" applyFill="1" applyBorder="1">
      <alignment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20" fontId="14" fillId="5" borderId="82" xfId="0" applyNumberFormat="1" applyFont="1" applyFill="1" applyBorder="1" applyAlignment="1">
      <alignment horizontal="center" vertical="center"/>
    </xf>
    <xf numFmtId="0" fontId="14" fillId="5" borderId="62" xfId="0" applyFont="1" applyFill="1" applyBorder="1">
      <alignment vertical="center"/>
    </xf>
    <xf numFmtId="0" fontId="14" fillId="5" borderId="62" xfId="0" applyFont="1" applyFill="1" applyBorder="1" applyAlignment="1">
      <alignment horizontal="center" vertical="center"/>
    </xf>
    <xf numFmtId="0" fontId="14" fillId="5" borderId="83" xfId="0" applyFont="1" applyFill="1" applyBorder="1" applyAlignment="1">
      <alignment horizontal="center" vertical="center"/>
    </xf>
    <xf numFmtId="0" fontId="1" fillId="6" borderId="42" xfId="0" applyFont="1" applyFill="1" applyBorder="1" applyAlignment="1">
      <alignment horizontal="center" vertical="center"/>
    </xf>
    <xf numFmtId="0" fontId="1" fillId="15" borderId="62" xfId="0" applyFont="1" applyFill="1" applyBorder="1">
      <alignment vertical="center"/>
    </xf>
    <xf numFmtId="20" fontId="1" fillId="13" borderId="76" xfId="0" applyNumberFormat="1" applyFont="1" applyFill="1" applyBorder="1" applyAlignment="1">
      <alignment horizontal="center" vertical="center"/>
    </xf>
    <xf numFmtId="0" fontId="1" fillId="13" borderId="11" xfId="0" applyFont="1" applyFill="1" applyBorder="1">
      <alignment vertical="center"/>
    </xf>
    <xf numFmtId="0" fontId="1" fillId="13" borderId="11" xfId="0" applyFont="1" applyFill="1" applyBorder="1" applyAlignment="1">
      <alignment horizontal="center" vertical="center"/>
    </xf>
    <xf numFmtId="0" fontId="1" fillId="13" borderId="77" xfId="0" applyFont="1" applyFill="1" applyBorder="1" applyAlignment="1">
      <alignment horizontal="center" vertical="center"/>
    </xf>
    <xf numFmtId="20" fontId="1" fillId="0" borderId="129" xfId="0" applyNumberFormat="1" applyFont="1" applyBorder="1" applyAlignment="1">
      <alignment horizontal="center" vertical="center"/>
    </xf>
    <xf numFmtId="0" fontId="1" fillId="0" borderId="130" xfId="0" applyFont="1" applyBorder="1">
      <alignment vertical="center"/>
    </xf>
    <xf numFmtId="0" fontId="1" fillId="0" borderId="130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20" fontId="1" fillId="16" borderId="94" xfId="0" applyNumberFormat="1" applyFont="1" applyFill="1" applyBorder="1" applyAlignment="1">
      <alignment horizontal="center" vertical="center"/>
    </xf>
    <xf numFmtId="0" fontId="1" fillId="16" borderId="16" xfId="0" applyFont="1" applyFill="1" applyBorder="1">
      <alignment vertical="center"/>
    </xf>
    <xf numFmtId="0" fontId="1" fillId="16" borderId="16" xfId="0" applyFont="1" applyFill="1" applyBorder="1" applyAlignment="1">
      <alignment horizontal="center" vertical="center"/>
    </xf>
    <xf numFmtId="0" fontId="1" fillId="16" borderId="27" xfId="0" applyFont="1" applyFill="1" applyBorder="1" applyAlignment="1">
      <alignment horizontal="center" vertical="center"/>
    </xf>
    <xf numFmtId="20" fontId="4" fillId="5" borderId="122" xfId="0" applyNumberFormat="1" applyFont="1" applyFill="1" applyBorder="1" applyAlignment="1">
      <alignment horizontal="center" vertical="center"/>
    </xf>
    <xf numFmtId="0" fontId="4" fillId="5" borderId="123" xfId="0" applyFont="1" applyFill="1" applyBorder="1" applyAlignment="1">
      <alignment horizontal="center" vertical="center"/>
    </xf>
    <xf numFmtId="0" fontId="4" fillId="5" borderId="124" xfId="0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11" fillId="0" borderId="26" xfId="0" applyFont="1" applyBorder="1" applyAlignment="1">
      <alignment horizontal="center" vertical="center"/>
    </xf>
    <xf numFmtId="20" fontId="14" fillId="17" borderId="76" xfId="0" applyNumberFormat="1" applyFont="1" applyFill="1" applyBorder="1" applyAlignment="1">
      <alignment horizontal="center" vertical="center"/>
    </xf>
    <xf numFmtId="0" fontId="14" fillId="17" borderId="11" xfId="0" applyFont="1" applyFill="1" applyBorder="1">
      <alignment vertical="center"/>
    </xf>
    <xf numFmtId="0" fontId="14" fillId="17" borderId="11" xfId="0" applyFont="1" applyFill="1" applyBorder="1" applyAlignment="1">
      <alignment horizontal="center" vertical="center"/>
    </xf>
    <xf numFmtId="0" fontId="14" fillId="17" borderId="77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left" vertical="center"/>
    </xf>
    <xf numFmtId="176" fontId="1" fillId="0" borderId="0" xfId="2" applyNumberFormat="1" applyFont="1" applyAlignment="1">
      <alignment horizontal="center" vertical="center"/>
    </xf>
    <xf numFmtId="20" fontId="1" fillId="9" borderId="40" xfId="0" applyNumberFormat="1" applyFont="1" applyFill="1" applyBorder="1" applyAlignment="1">
      <alignment horizontal="center" vertical="center"/>
    </xf>
    <xf numFmtId="0" fontId="1" fillId="9" borderId="39" xfId="0" applyFont="1" applyFill="1" applyBorder="1" applyAlignment="1">
      <alignment horizontal="center" vertical="center"/>
    </xf>
    <xf numFmtId="20" fontId="1" fillId="9" borderId="12" xfId="0" applyNumberFormat="1" applyFont="1" applyFill="1" applyBorder="1" applyAlignment="1">
      <alignment horizontal="center" vertical="center"/>
    </xf>
    <xf numFmtId="0" fontId="1" fillId="9" borderId="11" xfId="0" applyFont="1" applyFill="1" applyBorder="1">
      <alignment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42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5" borderId="90" xfId="0" applyFont="1" applyFill="1" applyBorder="1" applyAlignment="1">
      <alignment horizontal="center" vertical="center"/>
    </xf>
    <xf numFmtId="0" fontId="1" fillId="5" borderId="91" xfId="0" applyFont="1" applyFill="1" applyBorder="1" applyAlignment="1">
      <alignment horizontal="center" vertical="center"/>
    </xf>
    <xf numFmtId="3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20" fontId="1" fillId="5" borderId="132" xfId="0" applyNumberFormat="1" applyFont="1" applyFill="1" applyBorder="1" applyAlignment="1">
      <alignment horizontal="center" vertical="center"/>
    </xf>
    <xf numFmtId="0" fontId="1" fillId="5" borderId="133" xfId="0" applyFont="1" applyFill="1" applyBorder="1">
      <alignment vertical="center"/>
    </xf>
    <xf numFmtId="0" fontId="1" fillId="5" borderId="133" xfId="0" applyFont="1" applyFill="1" applyBorder="1" applyAlignment="1">
      <alignment horizontal="center" vertical="center"/>
    </xf>
    <xf numFmtId="0" fontId="1" fillId="5" borderId="134" xfId="0" applyFont="1" applyFill="1" applyBorder="1" applyAlignment="1">
      <alignment horizontal="center" vertical="center"/>
    </xf>
    <xf numFmtId="20" fontId="1" fillId="5" borderId="127" xfId="0" applyNumberFormat="1" applyFont="1" applyFill="1" applyBorder="1" applyAlignment="1">
      <alignment horizontal="center" vertical="center"/>
    </xf>
    <xf numFmtId="0" fontId="1" fillId="0" borderId="135" xfId="0" applyFont="1" applyBorder="1" applyAlignment="1">
      <alignment horizontal="center" vertical="center"/>
    </xf>
    <xf numFmtId="0" fontId="1" fillId="0" borderId="136" xfId="0" applyFont="1" applyBorder="1" applyAlignment="1">
      <alignment horizontal="center" vertical="center"/>
    </xf>
    <xf numFmtId="20" fontId="1" fillId="0" borderId="137" xfId="0" applyNumberFormat="1" applyFont="1" applyBorder="1" applyAlignment="1">
      <alignment horizontal="center" vertical="center"/>
    </xf>
    <xf numFmtId="0" fontId="1" fillId="0" borderId="138" xfId="0" applyFont="1" applyBorder="1">
      <alignment vertical="center"/>
    </xf>
    <xf numFmtId="0" fontId="1" fillId="0" borderId="138" xfId="0" applyFont="1" applyBorder="1" applyAlignment="1">
      <alignment horizontal="center" vertical="center"/>
    </xf>
    <xf numFmtId="0" fontId="1" fillId="0" borderId="139" xfId="0" applyFont="1" applyBorder="1" applyAlignment="1">
      <alignment horizontal="center" vertical="center"/>
    </xf>
    <xf numFmtId="20" fontId="1" fillId="0" borderId="140" xfId="0" applyNumberFormat="1" applyFont="1" applyBorder="1" applyAlignment="1">
      <alignment horizontal="center" vertical="center"/>
    </xf>
    <xf numFmtId="20" fontId="1" fillId="0" borderId="141" xfId="0" applyNumberFormat="1" applyFont="1" applyBorder="1" applyAlignment="1">
      <alignment horizontal="center" vertical="center"/>
    </xf>
    <xf numFmtId="20" fontId="1" fillId="0" borderId="97" xfId="0" applyNumberFormat="1" applyFont="1" applyBorder="1" applyAlignment="1">
      <alignment horizontal="center" vertical="center"/>
    </xf>
    <xf numFmtId="0" fontId="1" fillId="6" borderId="133" xfId="0" applyFont="1" applyFill="1" applyBorder="1">
      <alignment vertical="center"/>
    </xf>
    <xf numFmtId="20" fontId="1" fillId="12" borderId="33" xfId="0" applyNumberFormat="1" applyFont="1" applyFill="1" applyBorder="1" applyAlignment="1">
      <alignment horizontal="center" vertical="center"/>
    </xf>
    <xf numFmtId="0" fontId="1" fillId="12" borderId="34" xfId="0" applyFont="1" applyFill="1" applyBorder="1">
      <alignment vertical="center"/>
    </xf>
    <xf numFmtId="0" fontId="1" fillId="12" borderId="34" xfId="0" applyFont="1" applyFill="1" applyBorder="1" applyAlignment="1">
      <alignment horizontal="center" vertical="center"/>
    </xf>
    <xf numFmtId="0" fontId="1" fillId="12" borderId="30" xfId="0" applyFont="1" applyFill="1" applyBorder="1" applyAlignment="1">
      <alignment horizontal="center" vertical="center"/>
    </xf>
    <xf numFmtId="20" fontId="1" fillId="5" borderId="35" xfId="0" applyNumberFormat="1" applyFont="1" applyFill="1" applyBorder="1" applyAlignment="1">
      <alignment horizontal="center" vertical="center"/>
    </xf>
    <xf numFmtId="0" fontId="1" fillId="5" borderId="34" xfId="0" applyFont="1" applyFill="1" applyBorder="1">
      <alignment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7" xfId="0" applyFont="1" applyFill="1" applyBorder="1" applyAlignment="1">
      <alignment horizontal="center" vertical="center"/>
    </xf>
    <xf numFmtId="20" fontId="1" fillId="5" borderId="140" xfId="0" applyNumberFormat="1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1" fillId="0" borderId="137" xfId="0" applyFont="1" applyBorder="1" applyAlignment="1">
      <alignment horizontal="center" vertical="center"/>
    </xf>
    <xf numFmtId="0" fontId="4" fillId="0" borderId="138" xfId="0" applyFont="1" applyBorder="1">
      <alignment vertical="center"/>
    </xf>
    <xf numFmtId="20" fontId="1" fillId="9" borderId="142" xfId="0" applyNumberFormat="1" applyFont="1" applyFill="1" applyBorder="1" applyAlignment="1">
      <alignment horizontal="center" vertical="center"/>
    </xf>
    <xf numFmtId="0" fontId="1" fillId="9" borderId="34" xfId="0" applyFont="1" applyFill="1" applyBorder="1">
      <alignment vertical="center"/>
    </xf>
    <xf numFmtId="0" fontId="1" fillId="9" borderId="34" xfId="0" applyFont="1" applyFill="1" applyBorder="1" applyAlignment="1">
      <alignment horizontal="center" vertical="center"/>
    </xf>
    <xf numFmtId="0" fontId="1" fillId="9" borderId="143" xfId="0" applyFont="1" applyFill="1" applyBorder="1" applyAlignment="1">
      <alignment horizontal="center" vertical="center"/>
    </xf>
    <xf numFmtId="20" fontId="1" fillId="9" borderId="127" xfId="0" applyNumberFormat="1" applyFont="1" applyFill="1" applyBorder="1" applyAlignment="1">
      <alignment horizontal="center" vertical="center"/>
    </xf>
    <xf numFmtId="0" fontId="1" fillId="9" borderId="123" xfId="0" applyFont="1" applyFill="1" applyBorder="1">
      <alignment vertical="center"/>
    </xf>
    <xf numFmtId="0" fontId="1" fillId="9" borderId="123" xfId="0" applyFont="1" applyFill="1" applyBorder="1" applyAlignment="1">
      <alignment horizontal="center" vertical="center"/>
    </xf>
    <xf numFmtId="0" fontId="1" fillId="9" borderId="128" xfId="0" applyFont="1" applyFill="1" applyBorder="1" applyAlignment="1">
      <alignment horizontal="center" vertical="center"/>
    </xf>
    <xf numFmtId="0" fontId="1" fillId="0" borderId="147" xfId="0" applyFont="1" applyBorder="1" applyAlignment="1">
      <alignment horizontal="center" vertical="center"/>
    </xf>
    <xf numFmtId="0" fontId="1" fillId="0" borderId="148" xfId="0" applyFont="1" applyBorder="1" applyAlignment="1">
      <alignment horizontal="center" vertical="center"/>
    </xf>
    <xf numFmtId="0" fontId="1" fillId="5" borderId="149" xfId="0" applyFont="1" applyFill="1" applyBorder="1" applyAlignment="1">
      <alignment horizontal="center" vertical="center"/>
    </xf>
    <xf numFmtId="0" fontId="1" fillId="5" borderId="150" xfId="0" applyFont="1" applyFill="1" applyBorder="1" applyAlignment="1">
      <alignment horizontal="center" vertical="center"/>
    </xf>
    <xf numFmtId="0" fontId="1" fillId="0" borderId="93" xfId="0" applyFont="1" applyBorder="1">
      <alignment vertical="center"/>
    </xf>
    <xf numFmtId="0" fontId="1" fillId="2" borderId="151" xfId="0" applyFont="1" applyFill="1" applyBorder="1" applyAlignment="1">
      <alignment horizontal="center" vertical="center"/>
    </xf>
    <xf numFmtId="0" fontId="3" fillId="3" borderId="152" xfId="0" applyFont="1" applyFill="1" applyBorder="1" applyAlignment="1">
      <alignment horizontal="center" vertical="center"/>
    </xf>
    <xf numFmtId="0" fontId="1" fillId="2" borderId="153" xfId="0" applyFont="1" applyFill="1" applyBorder="1" applyAlignment="1">
      <alignment horizontal="center" vertical="center"/>
    </xf>
    <xf numFmtId="0" fontId="1" fillId="2" borderId="154" xfId="0" applyFont="1" applyFill="1" applyBorder="1" applyAlignment="1">
      <alignment horizontal="center" vertical="center"/>
    </xf>
    <xf numFmtId="20" fontId="1" fillId="0" borderId="155" xfId="0" applyNumberFormat="1" applyFont="1" applyBorder="1" applyAlignment="1">
      <alignment horizontal="center" vertical="center"/>
    </xf>
    <xf numFmtId="0" fontId="1" fillId="0" borderId="156" xfId="0" applyFont="1" applyBorder="1" applyAlignment="1">
      <alignment horizontal="center" vertical="center"/>
    </xf>
    <xf numFmtId="20" fontId="1" fillId="0" borderId="157" xfId="0" applyNumberFormat="1" applyFont="1" applyBorder="1" applyAlignment="1">
      <alignment horizontal="center" vertical="center"/>
    </xf>
    <xf numFmtId="0" fontId="1" fillId="0" borderId="158" xfId="0" applyFont="1" applyBorder="1" applyAlignment="1">
      <alignment horizontal="center" vertical="center"/>
    </xf>
    <xf numFmtId="20" fontId="1" fillId="5" borderId="161" xfId="0" applyNumberFormat="1" applyFont="1" applyFill="1" applyBorder="1" applyAlignment="1">
      <alignment horizontal="center" vertical="center"/>
    </xf>
    <xf numFmtId="0" fontId="1" fillId="5" borderId="162" xfId="0" applyFont="1" applyFill="1" applyBorder="1" applyAlignment="1">
      <alignment horizontal="center" vertical="center"/>
    </xf>
    <xf numFmtId="20" fontId="1" fillId="5" borderId="163" xfId="0" applyNumberFormat="1" applyFont="1" applyFill="1" applyBorder="1" applyAlignment="1">
      <alignment horizontal="center" vertical="center"/>
    </xf>
    <xf numFmtId="0" fontId="1" fillId="5" borderId="164" xfId="0" applyFont="1" applyFill="1" applyBorder="1" applyAlignment="1">
      <alignment horizontal="center" vertical="center"/>
    </xf>
    <xf numFmtId="0" fontId="1" fillId="0" borderId="165" xfId="0" applyFont="1" applyBorder="1" applyAlignment="1">
      <alignment horizontal="center" vertical="center"/>
    </xf>
    <xf numFmtId="0" fontId="1" fillId="0" borderId="166" xfId="0" applyFont="1" applyBorder="1">
      <alignment vertical="center"/>
    </xf>
    <xf numFmtId="0" fontId="1" fillId="0" borderId="166" xfId="0" applyFont="1" applyBorder="1" applyAlignment="1">
      <alignment horizontal="center" vertical="center"/>
    </xf>
    <xf numFmtId="0" fontId="1" fillId="0" borderId="167" xfId="0" applyFont="1" applyBorder="1" applyAlignment="1">
      <alignment horizontal="center" vertical="center"/>
    </xf>
    <xf numFmtId="20" fontId="1" fillId="9" borderId="168" xfId="0" applyNumberFormat="1" applyFont="1" applyFill="1" applyBorder="1" applyAlignment="1">
      <alignment horizontal="center" vertical="center"/>
    </xf>
    <xf numFmtId="0" fontId="1" fillId="9" borderId="156" xfId="0" applyFont="1" applyFill="1" applyBorder="1" applyAlignment="1">
      <alignment horizontal="center" vertical="center"/>
    </xf>
    <xf numFmtId="20" fontId="1" fillId="0" borderId="165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20" fontId="1" fillId="0" borderId="169" xfId="0" applyNumberFormat="1" applyFont="1" applyBorder="1" applyAlignment="1">
      <alignment horizontal="center" vertical="center"/>
    </xf>
    <xf numFmtId="0" fontId="1" fillId="0" borderId="170" xfId="0" applyFont="1" applyBorder="1">
      <alignment vertical="center"/>
    </xf>
    <xf numFmtId="0" fontId="1" fillId="0" borderId="170" xfId="0" applyFont="1" applyBorder="1" applyAlignment="1">
      <alignment horizontal="center" vertical="center"/>
    </xf>
    <xf numFmtId="0" fontId="1" fillId="0" borderId="171" xfId="0" applyFont="1" applyBorder="1" applyAlignment="1">
      <alignment horizontal="center" vertical="center"/>
    </xf>
    <xf numFmtId="0" fontId="1" fillId="0" borderId="172" xfId="0" applyFont="1" applyBorder="1" applyAlignment="1">
      <alignment horizontal="center" vertical="center"/>
    </xf>
    <xf numFmtId="0" fontId="1" fillId="0" borderId="173" xfId="0" applyFont="1" applyBorder="1">
      <alignment vertical="center"/>
    </xf>
    <xf numFmtId="0" fontId="1" fillId="0" borderId="173" xfId="0" applyFont="1" applyBorder="1" applyAlignment="1">
      <alignment horizontal="center" vertical="center"/>
    </xf>
    <xf numFmtId="0" fontId="1" fillId="0" borderId="174" xfId="0" applyFont="1" applyBorder="1" applyAlignment="1">
      <alignment horizontal="center" vertical="center"/>
    </xf>
    <xf numFmtId="0" fontId="1" fillId="0" borderId="175" xfId="0" applyFont="1" applyBorder="1" applyAlignment="1">
      <alignment horizontal="center" vertical="center"/>
    </xf>
    <xf numFmtId="0" fontId="1" fillId="0" borderId="176" xfId="0" applyFont="1" applyBorder="1" applyAlignment="1">
      <alignment horizontal="center" vertical="center"/>
    </xf>
    <xf numFmtId="0" fontId="1" fillId="0" borderId="177" xfId="0" applyFont="1" applyBorder="1" applyAlignment="1">
      <alignment horizontal="center" vertical="center"/>
    </xf>
    <xf numFmtId="0" fontId="1" fillId="0" borderId="178" xfId="0" applyFont="1" applyBorder="1" applyAlignment="1">
      <alignment horizontal="center" vertical="center"/>
    </xf>
    <xf numFmtId="20" fontId="1" fillId="0" borderId="175" xfId="0" applyNumberFormat="1" applyFont="1" applyBorder="1" applyAlignment="1">
      <alignment horizontal="center" vertical="center"/>
    </xf>
    <xf numFmtId="20" fontId="1" fillId="0" borderId="49" xfId="0" applyNumberFormat="1" applyFont="1" applyBorder="1" applyAlignment="1">
      <alignment horizontal="center" vertical="center"/>
    </xf>
    <xf numFmtId="0" fontId="1" fillId="0" borderId="55" xfId="0" applyFont="1" applyBorder="1">
      <alignment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163" xfId="0" applyFont="1" applyBorder="1" applyAlignment="1">
      <alignment horizontal="center" vertical="center"/>
    </xf>
    <xf numFmtId="0" fontId="1" fillId="0" borderId="164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20" fontId="1" fillId="0" borderId="163" xfId="0" applyNumberFormat="1" applyFont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3" fillId="12" borderId="68" xfId="0" applyFont="1" applyFill="1" applyBorder="1" applyAlignment="1">
      <alignment horizontal="center" vertical="center"/>
    </xf>
    <xf numFmtId="0" fontId="1" fillId="12" borderId="69" xfId="0" applyFont="1" applyFill="1" applyBorder="1" applyAlignment="1">
      <alignment horizontal="center" vertical="center"/>
    </xf>
    <xf numFmtId="0" fontId="1" fillId="12" borderId="151" xfId="0" applyFont="1" applyFill="1" applyBorder="1" applyAlignment="1">
      <alignment horizontal="center" vertical="center"/>
    </xf>
    <xf numFmtId="0" fontId="1" fillId="12" borderId="70" xfId="0" applyFont="1" applyFill="1" applyBorder="1" applyAlignment="1">
      <alignment horizontal="center" vertical="center"/>
    </xf>
    <xf numFmtId="20" fontId="1" fillId="0" borderId="179" xfId="0" applyNumberFormat="1" applyFont="1" applyBorder="1" applyAlignment="1">
      <alignment horizontal="center" vertical="center"/>
    </xf>
    <xf numFmtId="0" fontId="1" fillId="0" borderId="180" xfId="0" applyFont="1" applyBorder="1">
      <alignment vertical="center"/>
    </xf>
    <xf numFmtId="0" fontId="1" fillId="0" borderId="180" xfId="0" applyFont="1" applyBorder="1" applyAlignment="1">
      <alignment horizontal="center" vertical="center"/>
    </xf>
    <xf numFmtId="0" fontId="1" fillId="0" borderId="181" xfId="0" applyFont="1" applyBorder="1" applyAlignment="1">
      <alignment horizontal="center" vertical="center"/>
    </xf>
    <xf numFmtId="20" fontId="1" fillId="0" borderId="182" xfId="0" applyNumberFormat="1" applyFont="1" applyBorder="1" applyAlignment="1">
      <alignment horizontal="center" vertical="center"/>
    </xf>
    <xf numFmtId="0" fontId="1" fillId="0" borderId="183" xfId="0" applyFont="1" applyBorder="1" applyAlignment="1">
      <alignment horizontal="center" vertical="center"/>
    </xf>
    <xf numFmtId="20" fontId="1" fillId="0" borderId="184" xfId="0" applyNumberFormat="1" applyFont="1" applyBorder="1" applyAlignment="1">
      <alignment horizontal="center" vertical="center"/>
    </xf>
    <xf numFmtId="0" fontId="1" fillId="0" borderId="185" xfId="0" applyFont="1" applyBorder="1" applyAlignment="1">
      <alignment horizontal="center" vertical="center"/>
    </xf>
    <xf numFmtId="0" fontId="1" fillId="0" borderId="186" xfId="0" applyFont="1" applyBorder="1" applyAlignment="1">
      <alignment horizontal="center" vertical="center"/>
    </xf>
    <xf numFmtId="0" fontId="1" fillId="0" borderId="187" xfId="0" applyFont="1" applyBorder="1" applyAlignment="1">
      <alignment horizontal="center" vertical="center"/>
    </xf>
    <xf numFmtId="20" fontId="1" fillId="5" borderId="190" xfId="0" applyNumberFormat="1" applyFont="1" applyFill="1" applyBorder="1" applyAlignment="1">
      <alignment horizontal="center" vertical="center"/>
    </xf>
    <xf numFmtId="0" fontId="1" fillId="5" borderId="191" xfId="0" applyFont="1" applyFill="1" applyBorder="1" applyAlignment="1">
      <alignment horizontal="center" vertical="center"/>
    </xf>
    <xf numFmtId="20" fontId="1" fillId="5" borderId="192" xfId="0" applyNumberFormat="1" applyFont="1" applyFill="1" applyBorder="1" applyAlignment="1">
      <alignment horizontal="center" vertical="center"/>
    </xf>
    <xf numFmtId="0" fontId="1" fillId="5" borderId="193" xfId="0" applyFont="1" applyFill="1" applyBorder="1" applyAlignment="1">
      <alignment horizontal="center" vertical="center"/>
    </xf>
    <xf numFmtId="0" fontId="1" fillId="0" borderId="194" xfId="0" applyFont="1" applyBorder="1" applyAlignment="1">
      <alignment horizontal="center" vertical="center"/>
    </xf>
    <xf numFmtId="0" fontId="1" fillId="0" borderId="195" xfId="0" applyFont="1" applyBorder="1">
      <alignment vertical="center"/>
    </xf>
    <xf numFmtId="0" fontId="1" fillId="0" borderId="195" xfId="0" applyFont="1" applyBorder="1" applyAlignment="1">
      <alignment horizontal="center" vertical="center"/>
    </xf>
    <xf numFmtId="0" fontId="1" fillId="0" borderId="196" xfId="0" applyFont="1" applyBorder="1" applyAlignment="1">
      <alignment horizontal="center" vertical="center"/>
    </xf>
    <xf numFmtId="20" fontId="1" fillId="0" borderId="197" xfId="0" applyNumberFormat="1" applyFont="1" applyBorder="1" applyAlignment="1">
      <alignment horizontal="center" vertical="center"/>
    </xf>
    <xf numFmtId="0" fontId="1" fillId="0" borderId="198" xfId="0" applyFont="1" applyBorder="1" applyAlignment="1">
      <alignment horizontal="center" vertical="center"/>
    </xf>
    <xf numFmtId="20" fontId="1" fillId="18" borderId="38" xfId="0" applyNumberFormat="1" applyFont="1" applyFill="1" applyBorder="1" applyAlignment="1">
      <alignment horizontal="center" vertical="center"/>
    </xf>
    <xf numFmtId="0" fontId="1" fillId="18" borderId="39" xfId="0" applyFont="1" applyFill="1" applyBorder="1">
      <alignment vertical="center"/>
    </xf>
    <xf numFmtId="0" fontId="1" fillId="18" borderId="39" xfId="0" applyFont="1" applyFill="1" applyBorder="1" applyAlignment="1">
      <alignment horizontal="center" vertical="center"/>
    </xf>
    <xf numFmtId="0" fontId="1" fillId="18" borderId="31" xfId="0" applyFont="1" applyFill="1" applyBorder="1" applyAlignment="1">
      <alignment horizontal="center" vertical="center"/>
    </xf>
    <xf numFmtId="20" fontId="4" fillId="6" borderId="12" xfId="0" applyNumberFormat="1" applyFont="1" applyFill="1" applyBorder="1" applyAlignment="1">
      <alignment horizontal="center" vertical="center"/>
    </xf>
    <xf numFmtId="0" fontId="4" fillId="6" borderId="11" xfId="0" applyFont="1" applyFill="1" applyBorder="1">
      <alignment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3" fillId="3" borderId="208" xfId="0" applyFont="1" applyFill="1" applyBorder="1" applyAlignment="1">
      <alignment horizontal="center" vertical="center"/>
    </xf>
    <xf numFmtId="0" fontId="1" fillId="2" borderId="209" xfId="0" applyFont="1" applyFill="1" applyBorder="1" applyAlignment="1">
      <alignment horizontal="center" vertical="center"/>
    </xf>
    <xf numFmtId="0" fontId="1" fillId="2" borderId="210" xfId="0" applyFont="1" applyFill="1" applyBorder="1" applyAlignment="1">
      <alignment horizontal="center" vertical="center"/>
    </xf>
    <xf numFmtId="20" fontId="1" fillId="0" borderId="211" xfId="0" applyNumberFormat="1" applyFont="1" applyBorder="1" applyAlignment="1">
      <alignment horizontal="center" vertical="center"/>
    </xf>
    <xf numFmtId="0" fontId="1" fillId="0" borderId="212" xfId="0" applyFont="1" applyBorder="1" applyAlignment="1">
      <alignment horizontal="center" vertical="center"/>
    </xf>
    <xf numFmtId="20" fontId="1" fillId="0" borderId="213" xfId="0" applyNumberFormat="1" applyFont="1" applyBorder="1" applyAlignment="1">
      <alignment horizontal="center" vertical="center"/>
    </xf>
    <xf numFmtId="0" fontId="1" fillId="0" borderId="214" xfId="0" applyFont="1" applyBorder="1" applyAlignment="1">
      <alignment horizontal="center" vertical="center"/>
    </xf>
    <xf numFmtId="0" fontId="1" fillId="0" borderId="215" xfId="0" applyFont="1" applyBorder="1" applyAlignment="1">
      <alignment horizontal="center" vertical="center"/>
    </xf>
    <xf numFmtId="0" fontId="1" fillId="0" borderId="216" xfId="0" applyFont="1" applyBorder="1" applyAlignment="1">
      <alignment horizontal="center" vertical="center"/>
    </xf>
    <xf numFmtId="20" fontId="1" fillId="5" borderId="219" xfId="0" applyNumberFormat="1" applyFont="1" applyFill="1" applyBorder="1" applyAlignment="1">
      <alignment horizontal="center" vertical="center"/>
    </xf>
    <xf numFmtId="0" fontId="1" fillId="5" borderId="220" xfId="0" applyFont="1" applyFill="1" applyBorder="1" applyAlignment="1">
      <alignment horizontal="center" vertical="center"/>
    </xf>
    <xf numFmtId="20" fontId="1" fillId="5" borderId="221" xfId="0" applyNumberFormat="1" applyFont="1" applyFill="1" applyBorder="1" applyAlignment="1">
      <alignment horizontal="center" vertical="center"/>
    </xf>
    <xf numFmtId="0" fontId="1" fillId="5" borderId="222" xfId="0" applyFont="1" applyFill="1" applyBorder="1" applyAlignment="1">
      <alignment horizontal="center" vertical="center"/>
    </xf>
    <xf numFmtId="0" fontId="1" fillId="0" borderId="223" xfId="0" applyFont="1" applyBorder="1" applyAlignment="1">
      <alignment horizontal="center" vertical="center"/>
    </xf>
    <xf numFmtId="0" fontId="1" fillId="0" borderId="224" xfId="0" applyFont="1" applyBorder="1">
      <alignment vertical="center"/>
    </xf>
    <xf numFmtId="0" fontId="1" fillId="0" borderId="224" xfId="0" applyFont="1" applyBorder="1" applyAlignment="1">
      <alignment horizontal="center" vertical="center"/>
    </xf>
    <xf numFmtId="0" fontId="1" fillId="0" borderId="225" xfId="0" applyFont="1" applyBorder="1" applyAlignment="1">
      <alignment horizontal="center" vertical="center"/>
    </xf>
    <xf numFmtId="20" fontId="1" fillId="0" borderId="223" xfId="0" applyNumberFormat="1" applyFont="1" applyBorder="1" applyAlignment="1">
      <alignment horizontal="center" vertical="center"/>
    </xf>
    <xf numFmtId="20" fontId="1" fillId="0" borderId="226" xfId="0" applyNumberFormat="1" applyFont="1" applyBorder="1" applyAlignment="1">
      <alignment horizontal="center" vertical="center"/>
    </xf>
    <xf numFmtId="0" fontId="1" fillId="0" borderId="227" xfId="0" applyFont="1" applyBorder="1">
      <alignment vertical="center"/>
    </xf>
    <xf numFmtId="0" fontId="1" fillId="0" borderId="227" xfId="0" applyFont="1" applyBorder="1" applyAlignment="1">
      <alignment horizontal="center" vertical="center"/>
    </xf>
    <xf numFmtId="0" fontId="1" fillId="0" borderId="228" xfId="0" applyFont="1" applyBorder="1" applyAlignment="1">
      <alignment horizontal="center" vertical="center"/>
    </xf>
    <xf numFmtId="20" fontId="1" fillId="0" borderId="229" xfId="0" applyNumberFormat="1" applyFont="1" applyBorder="1" applyAlignment="1">
      <alignment horizontal="center" vertical="center"/>
    </xf>
    <xf numFmtId="0" fontId="1" fillId="0" borderId="230" xfId="0" applyFont="1" applyBorder="1" applyAlignment="1">
      <alignment horizontal="center" vertical="center"/>
    </xf>
    <xf numFmtId="20" fontId="1" fillId="0" borderId="231" xfId="0" applyNumberFormat="1" applyFont="1" applyBorder="1" applyAlignment="1">
      <alignment horizontal="center" vertical="center"/>
    </xf>
    <xf numFmtId="0" fontId="1" fillId="0" borderId="232" xfId="0" applyFont="1" applyBorder="1" applyAlignment="1">
      <alignment horizontal="center" vertical="center"/>
    </xf>
    <xf numFmtId="0" fontId="1" fillId="0" borderId="233" xfId="0" applyFont="1" applyBorder="1" applyAlignment="1">
      <alignment horizontal="center" vertical="center"/>
    </xf>
    <xf numFmtId="0" fontId="1" fillId="0" borderId="234" xfId="0" applyFont="1" applyBorder="1" applyAlignment="1">
      <alignment horizontal="center" vertical="center"/>
    </xf>
    <xf numFmtId="20" fontId="1" fillId="5" borderId="235" xfId="0" applyNumberFormat="1" applyFont="1" applyFill="1" applyBorder="1" applyAlignment="1">
      <alignment horizontal="center" vertical="center"/>
    </xf>
    <xf numFmtId="0" fontId="1" fillId="5" borderId="236" xfId="0" applyFont="1" applyFill="1" applyBorder="1" applyAlignment="1">
      <alignment horizontal="center" vertical="center"/>
    </xf>
    <xf numFmtId="20" fontId="1" fillId="5" borderId="237" xfId="0" applyNumberFormat="1" applyFont="1" applyFill="1" applyBorder="1" applyAlignment="1">
      <alignment horizontal="center" vertical="center"/>
    </xf>
    <xf numFmtId="0" fontId="1" fillId="5" borderId="238" xfId="0" applyFont="1" applyFill="1" applyBorder="1" applyAlignment="1">
      <alignment horizontal="center" vertical="center"/>
    </xf>
    <xf numFmtId="0" fontId="1" fillId="0" borderId="239" xfId="0" applyFont="1" applyBorder="1" applyAlignment="1">
      <alignment horizontal="center" vertical="center"/>
    </xf>
    <xf numFmtId="0" fontId="1" fillId="0" borderId="240" xfId="0" applyFont="1" applyBorder="1" applyAlignment="1">
      <alignment horizontal="center" vertical="center"/>
    </xf>
    <xf numFmtId="0" fontId="16" fillId="0" borderId="199" xfId="0" applyFont="1" applyBorder="1" applyAlignment="1">
      <alignment horizontal="center" vertical="center"/>
    </xf>
    <xf numFmtId="0" fontId="16" fillId="0" borderId="200" xfId="0" applyFont="1" applyBorder="1" applyAlignment="1">
      <alignment horizontal="center" vertical="center"/>
    </xf>
    <xf numFmtId="0" fontId="16" fillId="0" borderId="201" xfId="0" applyFont="1" applyBorder="1" applyAlignment="1">
      <alignment horizontal="center" vertical="center"/>
    </xf>
    <xf numFmtId="0" fontId="16" fillId="0" borderId="20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03" xfId="0" applyFont="1" applyBorder="1" applyAlignment="1">
      <alignment horizontal="center" vertical="center"/>
    </xf>
    <xf numFmtId="0" fontId="16" fillId="0" borderId="204" xfId="0" applyFont="1" applyBorder="1" applyAlignment="1">
      <alignment horizontal="centerContinuous" vertical="center"/>
    </xf>
    <xf numFmtId="0" fontId="16" fillId="0" borderId="205" xfId="0" applyFont="1" applyBorder="1" applyAlignment="1">
      <alignment horizontal="centerContinuous" vertical="center"/>
    </xf>
    <xf numFmtId="0" fontId="16" fillId="0" borderId="206" xfId="0" applyFont="1" applyBorder="1" applyAlignment="1">
      <alignment horizontal="centerContinuous" vertical="center"/>
    </xf>
    <xf numFmtId="0" fontId="3" fillId="12" borderId="3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7" borderId="0" xfId="0" applyFill="1">
      <alignment vertical="center"/>
    </xf>
    <xf numFmtId="41" fontId="0" fillId="7" borderId="0" xfId="1" applyFont="1" applyFill="1">
      <alignment vertical="center"/>
    </xf>
    <xf numFmtId="0" fontId="19" fillId="4" borderId="0" xfId="0" applyFont="1" applyFill="1">
      <alignment vertical="center"/>
    </xf>
    <xf numFmtId="0" fontId="20" fillId="4" borderId="0" xfId="0" applyFont="1" applyFill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2" fillId="2" borderId="67" xfId="0" applyFont="1" applyFill="1" applyBorder="1" applyAlignment="1">
      <alignment horizontal="centerContinuous" vertical="center"/>
    </xf>
    <xf numFmtId="20" fontId="23" fillId="11" borderId="40" xfId="0" applyNumberFormat="1" applyFont="1" applyFill="1" applyBorder="1" applyAlignment="1">
      <alignment horizontal="center" vertical="center"/>
    </xf>
    <xf numFmtId="0" fontId="23" fillId="11" borderId="39" xfId="0" applyFont="1" applyFill="1" applyBorder="1">
      <alignment vertical="center"/>
    </xf>
    <xf numFmtId="0" fontId="23" fillId="11" borderId="39" xfId="0" applyFont="1" applyFill="1" applyBorder="1" applyAlignment="1">
      <alignment horizontal="center" vertical="center"/>
    </xf>
    <xf numFmtId="0" fontId="23" fillId="11" borderId="42" xfId="0" applyFont="1" applyFill="1" applyBorder="1" applyAlignment="1">
      <alignment horizontal="center" vertical="center"/>
    </xf>
    <xf numFmtId="20" fontId="23" fillId="11" borderId="63" xfId="0" applyNumberFormat="1" applyFont="1" applyFill="1" applyBorder="1" applyAlignment="1">
      <alignment horizontal="center" vertical="center"/>
    </xf>
    <xf numFmtId="0" fontId="23" fillId="11" borderId="62" xfId="0" applyFont="1" applyFill="1" applyBorder="1">
      <alignment vertical="center"/>
    </xf>
    <xf numFmtId="0" fontId="23" fillId="11" borderId="62" xfId="0" applyFont="1" applyFill="1" applyBorder="1" applyAlignment="1">
      <alignment horizontal="center" vertical="center"/>
    </xf>
    <xf numFmtId="0" fontId="23" fillId="11" borderId="64" xfId="0" applyFont="1" applyFill="1" applyBorder="1" applyAlignment="1">
      <alignment horizontal="center" vertical="center"/>
    </xf>
    <xf numFmtId="20" fontId="23" fillId="0" borderId="243" xfId="0" applyNumberFormat="1" applyFont="1" applyBorder="1" applyAlignment="1">
      <alignment horizontal="center" vertical="center"/>
    </xf>
    <xf numFmtId="0" fontId="23" fillId="0" borderId="244" xfId="0" applyFont="1" applyBorder="1">
      <alignment vertical="center"/>
    </xf>
    <xf numFmtId="0" fontId="23" fillId="0" borderId="170" xfId="0" applyFont="1" applyBorder="1" applyAlignment="1">
      <alignment horizontal="center" vertical="center"/>
    </xf>
    <xf numFmtId="0" fontId="23" fillId="0" borderId="245" xfId="0" applyFont="1" applyBorder="1" applyAlignment="1">
      <alignment horizontal="center" vertical="center"/>
    </xf>
    <xf numFmtId="0" fontId="1" fillId="0" borderId="135" xfId="0" applyFont="1" applyBorder="1" applyAlignment="1">
      <alignment horizontal="left" vertical="center"/>
    </xf>
    <xf numFmtId="20" fontId="21" fillId="20" borderId="211" xfId="0" applyNumberFormat="1" applyFont="1" applyFill="1" applyBorder="1" applyAlignment="1">
      <alignment horizontal="center" vertical="center"/>
    </xf>
    <xf numFmtId="0" fontId="21" fillId="20" borderId="39" xfId="0" applyFont="1" applyFill="1" applyBorder="1">
      <alignment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212" xfId="0" applyFont="1" applyFill="1" applyBorder="1" applyAlignment="1">
      <alignment horizontal="center" vertical="center"/>
    </xf>
    <xf numFmtId="20" fontId="21" fillId="20" borderId="93" xfId="0" applyNumberFormat="1" applyFont="1" applyFill="1" applyBorder="1" applyAlignment="1">
      <alignment horizontal="center" vertical="center"/>
    </xf>
    <xf numFmtId="0" fontId="21" fillId="20" borderId="11" xfId="0" applyFont="1" applyFill="1" applyBorder="1">
      <alignment vertical="center"/>
    </xf>
    <xf numFmtId="0" fontId="21" fillId="20" borderId="11" xfId="0" applyFont="1" applyFill="1" applyBorder="1" applyAlignment="1">
      <alignment horizontal="center" vertical="center"/>
    </xf>
    <xf numFmtId="0" fontId="21" fillId="20" borderId="26" xfId="0" applyFont="1" applyFill="1" applyBorder="1" applyAlignment="1">
      <alignment horizontal="center" vertical="center"/>
    </xf>
    <xf numFmtId="20" fontId="21" fillId="20" borderId="61" xfId="0" applyNumberFormat="1" applyFont="1" applyFill="1" applyBorder="1" applyAlignment="1">
      <alignment horizontal="center" vertical="center"/>
    </xf>
    <xf numFmtId="0" fontId="21" fillId="20" borderId="62" xfId="0" applyFont="1" applyFill="1" applyBorder="1">
      <alignment vertical="center"/>
    </xf>
    <xf numFmtId="0" fontId="21" fillId="20" borderId="62" xfId="0" applyFont="1" applyFill="1" applyBorder="1" applyAlignment="1">
      <alignment horizontal="center" vertical="center"/>
    </xf>
    <xf numFmtId="0" fontId="21" fillId="20" borderId="60" xfId="0" applyFont="1" applyFill="1" applyBorder="1" applyAlignment="1">
      <alignment horizontal="center" vertical="center"/>
    </xf>
    <xf numFmtId="0" fontId="23" fillId="12" borderId="55" xfId="0" applyFont="1" applyFill="1" applyBorder="1">
      <alignment vertical="center"/>
    </xf>
    <xf numFmtId="20" fontId="1" fillId="21" borderId="33" xfId="0" applyNumberFormat="1" applyFont="1" applyFill="1" applyBorder="1" applyAlignment="1">
      <alignment horizontal="center" vertical="center"/>
    </xf>
    <xf numFmtId="0" fontId="1" fillId="21" borderId="34" xfId="0" applyFont="1" applyFill="1" applyBorder="1">
      <alignment vertical="center"/>
    </xf>
    <xf numFmtId="0" fontId="1" fillId="21" borderId="34" xfId="0" applyFont="1" applyFill="1" applyBorder="1" applyAlignment="1">
      <alignment horizontal="center" vertical="center"/>
    </xf>
    <xf numFmtId="0" fontId="1" fillId="21" borderId="30" xfId="0" applyFont="1" applyFill="1" applyBorder="1" applyAlignment="1">
      <alignment horizontal="center" vertical="center"/>
    </xf>
    <xf numFmtId="20" fontId="21" fillId="12" borderId="38" xfId="0" applyNumberFormat="1" applyFont="1" applyFill="1" applyBorder="1" applyAlignment="1">
      <alignment horizontal="centerContinuous" vertical="center"/>
    </xf>
    <xf numFmtId="0" fontId="21" fillId="12" borderId="39" xfId="0" applyFont="1" applyFill="1" applyBorder="1" applyAlignment="1">
      <alignment horizontal="centerContinuous" vertical="center"/>
    </xf>
    <xf numFmtId="0" fontId="21" fillId="12" borderId="31" xfId="0" applyFont="1" applyFill="1" applyBorder="1" applyAlignment="1">
      <alignment horizontal="centerContinuous" vertical="center"/>
    </xf>
    <xf numFmtId="0" fontId="21" fillId="12" borderId="12" xfId="0" applyFont="1" applyFill="1" applyBorder="1" applyAlignment="1">
      <alignment horizontal="centerContinuous" vertical="center"/>
    </xf>
    <xf numFmtId="0" fontId="21" fillId="12" borderId="11" xfId="0" applyFont="1" applyFill="1" applyBorder="1" applyAlignment="1">
      <alignment horizontal="centerContinuous" vertical="center"/>
    </xf>
    <xf numFmtId="0" fontId="21" fillId="12" borderId="26" xfId="0" applyFont="1" applyFill="1" applyBorder="1" applyAlignment="1">
      <alignment horizontal="centerContinuous" vertical="center"/>
    </xf>
    <xf numFmtId="20" fontId="1" fillId="0" borderId="246" xfId="0" applyNumberFormat="1" applyFont="1" applyBorder="1" applyAlignment="1">
      <alignment horizontal="center" vertical="center"/>
    </xf>
    <xf numFmtId="0" fontId="1" fillId="0" borderId="247" xfId="0" applyFont="1" applyBorder="1">
      <alignment vertical="center"/>
    </xf>
    <xf numFmtId="0" fontId="1" fillId="0" borderId="247" xfId="0" applyFont="1" applyBorder="1" applyAlignment="1">
      <alignment horizontal="center" vertical="center"/>
    </xf>
    <xf numFmtId="0" fontId="1" fillId="0" borderId="248" xfId="0" applyFont="1" applyBorder="1" applyAlignment="1">
      <alignment horizontal="center" vertical="center"/>
    </xf>
    <xf numFmtId="0" fontId="1" fillId="0" borderId="249" xfId="0" applyFont="1" applyBorder="1" applyAlignment="1">
      <alignment horizontal="center" vertical="center"/>
    </xf>
    <xf numFmtId="0" fontId="1" fillId="0" borderId="250" xfId="0" applyFont="1" applyBorder="1" applyAlignment="1">
      <alignment horizontal="center" vertical="center"/>
    </xf>
    <xf numFmtId="20" fontId="1" fillId="0" borderId="249" xfId="0" applyNumberFormat="1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91" xfId="0" applyFont="1" applyBorder="1">
      <alignment vertical="center"/>
    </xf>
    <xf numFmtId="0" fontId="1" fillId="0" borderId="91" xfId="0" applyFont="1" applyBorder="1" applyAlignment="1">
      <alignment horizontal="center" vertical="center"/>
    </xf>
    <xf numFmtId="20" fontId="1" fillId="16" borderId="40" xfId="0" applyNumberFormat="1" applyFont="1" applyFill="1" applyBorder="1" applyAlignment="1">
      <alignment horizontal="center" vertical="center"/>
    </xf>
    <xf numFmtId="0" fontId="1" fillId="16" borderId="39" xfId="0" applyFont="1" applyFill="1" applyBorder="1">
      <alignment vertical="center"/>
    </xf>
    <xf numFmtId="0" fontId="1" fillId="16" borderId="39" xfId="0" applyFont="1" applyFill="1" applyBorder="1" applyAlignment="1">
      <alignment horizontal="center" vertical="center"/>
    </xf>
    <xf numFmtId="0" fontId="1" fillId="16" borderId="41" xfId="0" applyFont="1" applyFill="1" applyBorder="1" applyAlignment="1">
      <alignment horizontal="center" vertical="center"/>
    </xf>
    <xf numFmtId="0" fontId="1" fillId="0" borderId="251" xfId="0" applyFont="1" applyBorder="1" applyAlignment="1">
      <alignment horizontal="center" vertical="center"/>
    </xf>
    <xf numFmtId="20" fontId="1" fillId="6" borderId="241" xfId="0" applyNumberFormat="1" applyFont="1" applyFill="1" applyBorder="1" applyAlignment="1">
      <alignment horizontal="center" vertical="center"/>
    </xf>
    <xf numFmtId="0" fontId="1" fillId="6" borderId="242" xfId="0" applyFont="1" applyFill="1" applyBorder="1" applyAlignment="1">
      <alignment horizontal="center" vertical="center"/>
    </xf>
    <xf numFmtId="0" fontId="24" fillId="5" borderId="62" xfId="0" applyFont="1" applyFill="1" applyBorder="1" applyAlignment="1">
      <alignment horizontal="center" vertical="center"/>
    </xf>
    <xf numFmtId="0" fontId="24" fillId="5" borderId="64" xfId="0" applyFont="1" applyFill="1" applyBorder="1" applyAlignment="1">
      <alignment horizontal="center" vertical="center"/>
    </xf>
    <xf numFmtId="0" fontId="1" fillId="5" borderId="252" xfId="0" applyFont="1" applyFill="1" applyBorder="1">
      <alignment vertical="center"/>
    </xf>
    <xf numFmtId="20" fontId="1" fillId="0" borderId="33" xfId="0" applyNumberFormat="1" applyFont="1" applyBorder="1" applyAlignment="1">
      <alignment horizontal="center" vertical="center"/>
    </xf>
    <xf numFmtId="20" fontId="1" fillId="5" borderId="256" xfId="0" applyNumberFormat="1" applyFont="1" applyFill="1" applyBorder="1" applyAlignment="1">
      <alignment horizontal="center" vertical="center"/>
    </xf>
    <xf numFmtId="0" fontId="1" fillId="5" borderId="257" xfId="0" applyFont="1" applyFill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20" fontId="1" fillId="16" borderId="258" xfId="0" applyNumberFormat="1" applyFont="1" applyFill="1" applyBorder="1" applyAlignment="1">
      <alignment horizontal="center" vertical="center"/>
    </xf>
    <xf numFmtId="0" fontId="1" fillId="16" borderId="247" xfId="0" applyFont="1" applyFill="1" applyBorder="1">
      <alignment vertical="center"/>
    </xf>
    <xf numFmtId="0" fontId="1" fillId="16" borderId="247" xfId="0" applyFont="1" applyFill="1" applyBorder="1" applyAlignment="1">
      <alignment horizontal="center" vertical="center"/>
    </xf>
    <xf numFmtId="0" fontId="1" fillId="16" borderId="250" xfId="0" applyFont="1" applyFill="1" applyBorder="1" applyAlignment="1">
      <alignment horizontal="center" vertical="center"/>
    </xf>
    <xf numFmtId="20" fontId="1" fillId="0" borderId="78" xfId="0" applyNumberFormat="1" applyFont="1" applyBorder="1" applyAlignment="1">
      <alignment horizontal="center" vertical="center"/>
    </xf>
    <xf numFmtId="0" fontId="1" fillId="5" borderId="259" xfId="0" applyFont="1" applyFill="1" applyBorder="1">
      <alignment vertical="center"/>
    </xf>
    <xf numFmtId="20" fontId="1" fillId="5" borderId="260" xfId="0" applyNumberFormat="1" applyFont="1" applyFill="1" applyBorder="1" applyAlignment="1">
      <alignment horizontal="center" vertical="center"/>
    </xf>
    <xf numFmtId="0" fontId="1" fillId="5" borderId="261" xfId="0" applyFont="1" applyFill="1" applyBorder="1" applyAlignment="1">
      <alignment horizontal="center" vertical="center"/>
    </xf>
    <xf numFmtId="0" fontId="1" fillId="5" borderId="115" xfId="0" applyFont="1" applyFill="1" applyBorder="1" applyAlignment="1">
      <alignment horizontal="center" vertical="center"/>
    </xf>
    <xf numFmtId="0" fontId="1" fillId="6" borderId="252" xfId="0" applyFont="1" applyFill="1" applyBorder="1" applyAlignment="1">
      <alignment horizontal="center" vertical="center"/>
    </xf>
    <xf numFmtId="20" fontId="4" fillId="0" borderId="93" xfId="0" applyNumberFormat="1" applyFont="1" applyBorder="1" applyAlignment="1">
      <alignment horizontal="center" vertical="center"/>
    </xf>
    <xf numFmtId="0" fontId="25" fillId="6" borderId="0" xfId="0" applyFont="1" applyFill="1" applyAlignment="1">
      <alignment horizontal="left" vertical="center"/>
    </xf>
    <xf numFmtId="20" fontId="4" fillId="0" borderId="253" xfId="0" applyNumberFormat="1" applyFont="1" applyBorder="1" applyAlignment="1">
      <alignment horizontal="center" vertical="center"/>
    </xf>
    <xf numFmtId="0" fontId="4" fillId="0" borderId="254" xfId="0" applyFont="1" applyBorder="1">
      <alignment vertical="center"/>
    </xf>
    <xf numFmtId="0" fontId="4" fillId="0" borderId="254" xfId="0" applyFont="1" applyBorder="1" applyAlignment="1">
      <alignment horizontal="center" vertical="center"/>
    </xf>
    <xf numFmtId="0" fontId="4" fillId="0" borderId="25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20" fontId="1" fillId="9" borderId="17" xfId="0" applyNumberFormat="1" applyFont="1" applyFill="1" applyBorder="1" applyAlignment="1">
      <alignment horizontal="center" vertical="center"/>
    </xf>
    <xf numFmtId="0" fontId="1" fillId="9" borderId="16" xfId="0" applyFont="1" applyFill="1" applyBorder="1">
      <alignment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23" fillId="20" borderId="22" xfId="0" applyFont="1" applyFill="1" applyBorder="1">
      <alignment vertical="center"/>
    </xf>
    <xf numFmtId="0" fontId="23" fillId="20" borderId="22" xfId="0" applyFont="1" applyFill="1" applyBorder="1" applyAlignment="1">
      <alignment horizontal="center" vertical="center"/>
    </xf>
    <xf numFmtId="0" fontId="23" fillId="20" borderId="24" xfId="0" applyFont="1" applyFill="1" applyBorder="1" applyAlignment="1">
      <alignment horizontal="center" vertical="center"/>
    </xf>
    <xf numFmtId="0" fontId="23" fillId="20" borderId="39" xfId="0" applyFont="1" applyFill="1" applyBorder="1" applyAlignment="1">
      <alignment horizontal="center" vertical="center"/>
    </xf>
    <xf numFmtId="0" fontId="23" fillId="20" borderId="11" xfId="0" applyFont="1" applyFill="1" applyBorder="1" applyAlignment="1">
      <alignment horizontal="center" vertical="center"/>
    </xf>
    <xf numFmtId="0" fontId="23" fillId="20" borderId="16" xfId="0" applyFont="1" applyFill="1" applyBorder="1" applyAlignment="1">
      <alignment horizontal="center" vertical="center"/>
    </xf>
    <xf numFmtId="0" fontId="23" fillId="20" borderId="51" xfId="0" applyFont="1" applyFill="1" applyBorder="1" applyAlignment="1">
      <alignment horizontal="center" vertical="center"/>
    </xf>
    <xf numFmtId="20" fontId="1" fillId="5" borderId="263" xfId="0" applyNumberFormat="1" applyFont="1" applyFill="1" applyBorder="1" applyAlignment="1">
      <alignment horizontal="center" vertical="center"/>
    </xf>
    <xf numFmtId="20" fontId="1" fillId="5" borderId="262" xfId="0" applyNumberFormat="1" applyFont="1" applyFill="1" applyBorder="1" applyAlignment="1">
      <alignment horizontal="center" vertical="center"/>
    </xf>
    <xf numFmtId="0" fontId="1" fillId="5" borderId="264" xfId="0" applyFont="1" applyFill="1" applyBorder="1">
      <alignment vertical="center"/>
    </xf>
    <xf numFmtId="0" fontId="1" fillId="5" borderId="264" xfId="0" applyFont="1" applyFill="1" applyBorder="1" applyAlignment="1">
      <alignment horizontal="center" vertical="center"/>
    </xf>
    <xf numFmtId="0" fontId="1" fillId="5" borderId="265" xfId="0" applyFont="1" applyFill="1" applyBorder="1" applyAlignment="1">
      <alignment horizontal="center" vertical="center"/>
    </xf>
    <xf numFmtId="20" fontId="1" fillId="5" borderId="266" xfId="0" applyNumberFormat="1" applyFont="1" applyFill="1" applyBorder="1" applyAlignment="1">
      <alignment horizontal="center" vertical="center"/>
    </xf>
    <xf numFmtId="0" fontId="1" fillId="5" borderId="267" xfId="0" applyFont="1" applyFill="1" applyBorder="1" applyAlignment="1">
      <alignment horizontal="center" vertical="center"/>
    </xf>
    <xf numFmtId="20" fontId="1" fillId="5" borderId="268" xfId="0" applyNumberFormat="1" applyFont="1" applyFill="1" applyBorder="1" applyAlignment="1">
      <alignment horizontal="center" vertical="center"/>
    </xf>
    <xf numFmtId="0" fontId="23" fillId="20" borderId="264" xfId="0" applyFont="1" applyFill="1" applyBorder="1" applyAlignment="1">
      <alignment horizontal="center" vertical="center"/>
    </xf>
    <xf numFmtId="0" fontId="1" fillId="5" borderId="269" xfId="0" applyFont="1" applyFill="1" applyBorder="1" applyAlignment="1">
      <alignment horizontal="center" vertical="center"/>
    </xf>
    <xf numFmtId="0" fontId="1" fillId="5" borderId="270" xfId="0" applyFont="1" applyFill="1" applyBorder="1" applyAlignment="1">
      <alignment horizontal="center" vertical="center"/>
    </xf>
    <xf numFmtId="0" fontId="1" fillId="2" borderId="67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12" borderId="35" xfId="0" applyFont="1" applyFill="1" applyBorder="1" applyAlignment="1">
      <alignment horizontal="center" vertical="center"/>
    </xf>
    <xf numFmtId="0" fontId="1" fillId="12" borderId="36" xfId="0" applyFont="1" applyFill="1" applyBorder="1" applyAlignment="1">
      <alignment horizontal="center" vertical="center"/>
    </xf>
    <xf numFmtId="20" fontId="1" fillId="5" borderId="271" xfId="0" applyNumberFormat="1" applyFont="1" applyFill="1" applyBorder="1" applyAlignment="1">
      <alignment horizontal="center" vertical="center"/>
    </xf>
    <xf numFmtId="0" fontId="3" fillId="3" borderId="272" xfId="0" applyFont="1" applyFill="1" applyBorder="1" applyAlignment="1">
      <alignment horizontal="center" vertical="center"/>
    </xf>
    <xf numFmtId="0" fontId="1" fillId="2" borderId="273" xfId="0" applyFont="1" applyFill="1" applyBorder="1" applyAlignment="1">
      <alignment horizontal="center" vertical="center"/>
    </xf>
    <xf numFmtId="0" fontId="1" fillId="2" borderId="274" xfId="0" applyFont="1" applyFill="1" applyBorder="1" applyAlignment="1">
      <alignment horizontal="center" vertical="center"/>
    </xf>
    <xf numFmtId="0" fontId="1" fillId="2" borderId="275" xfId="0" applyFont="1" applyFill="1" applyBorder="1" applyAlignment="1">
      <alignment horizontal="center" vertical="center"/>
    </xf>
    <xf numFmtId="20" fontId="1" fillId="0" borderId="276" xfId="0" applyNumberFormat="1" applyFont="1" applyBorder="1" applyAlignment="1">
      <alignment horizontal="center" vertical="center"/>
    </xf>
    <xf numFmtId="0" fontId="1" fillId="0" borderId="277" xfId="0" applyFont="1" applyBorder="1" applyAlignment="1">
      <alignment horizontal="center" vertical="center"/>
    </xf>
    <xf numFmtId="20" fontId="1" fillId="0" borderId="278" xfId="0" applyNumberFormat="1" applyFont="1" applyBorder="1" applyAlignment="1">
      <alignment horizontal="center" vertical="center"/>
    </xf>
    <xf numFmtId="0" fontId="1" fillId="0" borderId="279" xfId="0" applyFont="1" applyBorder="1" applyAlignment="1">
      <alignment horizontal="center" vertical="center"/>
    </xf>
    <xf numFmtId="20" fontId="1" fillId="0" borderId="280" xfId="0" applyNumberFormat="1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1" fillId="0" borderId="280" xfId="0" applyFont="1" applyBorder="1" applyAlignment="1">
      <alignment horizontal="center" vertical="center"/>
    </xf>
    <xf numFmtId="0" fontId="1" fillId="0" borderId="281" xfId="0" applyFont="1" applyBorder="1" applyAlignment="1">
      <alignment horizontal="center" vertical="center"/>
    </xf>
    <xf numFmtId="20" fontId="1" fillId="5" borderId="284" xfId="0" applyNumberFormat="1" applyFont="1" applyFill="1" applyBorder="1" applyAlignment="1">
      <alignment horizontal="center" vertical="center"/>
    </xf>
    <xf numFmtId="0" fontId="1" fillId="5" borderId="285" xfId="0" applyFont="1" applyFill="1" applyBorder="1">
      <alignment vertical="center"/>
    </xf>
    <xf numFmtId="0" fontId="1" fillId="5" borderId="286" xfId="0" applyFont="1" applyFill="1" applyBorder="1" applyAlignment="1">
      <alignment horizontal="center" vertical="center"/>
    </xf>
    <xf numFmtId="0" fontId="1" fillId="5" borderId="287" xfId="0" applyFont="1" applyFill="1" applyBorder="1" applyAlignment="1">
      <alignment horizontal="center" vertical="center"/>
    </xf>
    <xf numFmtId="0" fontId="1" fillId="5" borderId="288" xfId="0" applyFont="1" applyFill="1" applyBorder="1" applyAlignment="1">
      <alignment horizontal="center" vertical="center"/>
    </xf>
    <xf numFmtId="0" fontId="1" fillId="6" borderId="285" xfId="0" applyFont="1" applyFill="1" applyBorder="1" applyAlignment="1">
      <alignment horizontal="center" vertical="center"/>
    </xf>
    <xf numFmtId="0" fontId="1" fillId="5" borderId="289" xfId="0" applyFont="1" applyFill="1" applyBorder="1" applyAlignment="1">
      <alignment horizontal="center" vertical="center"/>
    </xf>
    <xf numFmtId="0" fontId="1" fillId="0" borderId="290" xfId="0" applyFont="1" applyBorder="1" applyAlignment="1">
      <alignment horizontal="center" vertical="center"/>
    </xf>
    <xf numFmtId="0" fontId="1" fillId="0" borderId="291" xfId="0" applyFont="1" applyBorder="1">
      <alignment vertical="center"/>
    </xf>
    <xf numFmtId="0" fontId="1" fillId="0" borderId="291" xfId="0" applyFont="1" applyBorder="1" applyAlignment="1">
      <alignment horizontal="center" vertical="center"/>
    </xf>
    <xf numFmtId="0" fontId="1" fillId="0" borderId="292" xfId="0" applyFont="1" applyBorder="1" applyAlignment="1">
      <alignment horizontal="center" vertical="center"/>
    </xf>
    <xf numFmtId="0" fontId="1" fillId="0" borderId="29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>
      <alignment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20" fontId="1" fillId="5" borderId="295" xfId="0" applyNumberFormat="1" applyFont="1" applyFill="1" applyBorder="1" applyAlignment="1">
      <alignment horizontal="center" vertical="center"/>
    </xf>
    <xf numFmtId="20" fontId="1" fillId="5" borderId="296" xfId="0" applyNumberFormat="1" applyFont="1" applyFill="1" applyBorder="1" applyAlignment="1">
      <alignment horizontal="center" vertical="center"/>
    </xf>
    <xf numFmtId="0" fontId="1" fillId="5" borderId="297" xfId="0" applyFont="1" applyFill="1" applyBorder="1">
      <alignment vertical="center"/>
    </xf>
    <xf numFmtId="0" fontId="1" fillId="5" borderId="297" xfId="0" applyFont="1" applyFill="1" applyBorder="1" applyAlignment="1">
      <alignment horizontal="center" vertical="center"/>
    </xf>
    <xf numFmtId="0" fontId="1" fillId="5" borderId="298" xfId="0" applyFont="1" applyFill="1" applyBorder="1" applyAlignment="1">
      <alignment horizontal="center" vertical="center"/>
    </xf>
    <xf numFmtId="20" fontId="1" fillId="5" borderId="299" xfId="0" applyNumberFormat="1" applyFont="1" applyFill="1" applyBorder="1" applyAlignment="1">
      <alignment horizontal="center" vertical="center"/>
    </xf>
    <xf numFmtId="0" fontId="1" fillId="5" borderId="300" xfId="0" applyFont="1" applyFill="1" applyBorder="1" applyAlignment="1">
      <alignment horizontal="center" vertical="center"/>
    </xf>
    <xf numFmtId="20" fontId="1" fillId="5" borderId="301" xfId="0" applyNumberFormat="1" applyFont="1" applyFill="1" applyBorder="1" applyAlignment="1">
      <alignment horizontal="center" vertical="center"/>
    </xf>
    <xf numFmtId="0" fontId="1" fillId="5" borderId="302" xfId="0" applyFont="1" applyFill="1" applyBorder="1">
      <alignment vertical="center"/>
    </xf>
    <xf numFmtId="0" fontId="1" fillId="5" borderId="302" xfId="0" applyFont="1" applyFill="1" applyBorder="1" applyAlignment="1">
      <alignment horizontal="center" vertical="center"/>
    </xf>
    <xf numFmtId="0" fontId="1" fillId="5" borderId="303" xfId="0" applyFont="1" applyFill="1" applyBorder="1" applyAlignment="1">
      <alignment horizontal="center" vertical="center"/>
    </xf>
    <xf numFmtId="20" fontId="1" fillId="5" borderId="304" xfId="0" applyNumberFormat="1" applyFont="1" applyFill="1" applyBorder="1" applyAlignment="1">
      <alignment horizontal="center" vertical="center"/>
    </xf>
    <xf numFmtId="0" fontId="1" fillId="5" borderId="305" xfId="0" applyFont="1" applyFill="1" applyBorder="1">
      <alignment vertical="center"/>
    </xf>
    <xf numFmtId="0" fontId="1" fillId="5" borderId="305" xfId="0" applyFont="1" applyFill="1" applyBorder="1" applyAlignment="1">
      <alignment horizontal="center" vertical="center"/>
    </xf>
    <xf numFmtId="0" fontId="1" fillId="5" borderId="306" xfId="0" applyFont="1" applyFill="1" applyBorder="1" applyAlignment="1">
      <alignment horizontal="center" vertical="center"/>
    </xf>
    <xf numFmtId="20" fontId="1" fillId="5" borderId="307" xfId="0" applyNumberFormat="1" applyFont="1" applyFill="1" applyBorder="1" applyAlignment="1">
      <alignment horizontal="center" vertical="center"/>
    </xf>
    <xf numFmtId="0" fontId="1" fillId="5" borderId="308" xfId="0" applyFont="1" applyFill="1" applyBorder="1" applyAlignment="1">
      <alignment horizontal="center" vertical="center"/>
    </xf>
    <xf numFmtId="0" fontId="1" fillId="5" borderId="309" xfId="0" applyFont="1" applyFill="1" applyBorder="1" applyAlignment="1">
      <alignment horizontal="center" vertical="center"/>
    </xf>
    <xf numFmtId="20" fontId="1" fillId="5" borderId="310" xfId="0" applyNumberFormat="1" applyFont="1" applyFill="1" applyBorder="1" applyAlignment="1">
      <alignment horizontal="center" vertical="center"/>
    </xf>
    <xf numFmtId="0" fontId="1" fillId="5" borderId="311" xfId="0" applyFont="1" applyFill="1" applyBorder="1">
      <alignment vertical="center"/>
    </xf>
    <xf numFmtId="0" fontId="1" fillId="5" borderId="312" xfId="0" applyFont="1" applyFill="1" applyBorder="1" applyAlignment="1">
      <alignment horizontal="center" vertical="center"/>
    </xf>
    <xf numFmtId="20" fontId="1" fillId="5" borderId="313" xfId="0" applyNumberFormat="1" applyFont="1" applyFill="1" applyBorder="1" applyAlignment="1">
      <alignment horizontal="center" vertical="center"/>
    </xf>
    <xf numFmtId="0" fontId="1" fillId="5" borderId="314" xfId="0" applyFont="1" applyFill="1" applyBorder="1" applyAlignment="1">
      <alignment horizontal="center" vertical="center"/>
    </xf>
    <xf numFmtId="20" fontId="1" fillId="5" borderId="315" xfId="0" applyNumberFormat="1" applyFont="1" applyFill="1" applyBorder="1" applyAlignment="1">
      <alignment horizontal="center" vertical="center"/>
    </xf>
    <xf numFmtId="0" fontId="1" fillId="5" borderId="316" xfId="0" applyFont="1" applyFill="1" applyBorder="1" applyAlignment="1">
      <alignment horizontal="center" vertical="center"/>
    </xf>
    <xf numFmtId="20" fontId="11" fillId="0" borderId="21" xfId="0" applyNumberFormat="1" applyFont="1" applyBorder="1" applyAlignment="1">
      <alignment horizontal="center" vertical="center"/>
    </xf>
    <xf numFmtId="0" fontId="11" fillId="0" borderId="22" xfId="0" applyFont="1" applyBorder="1">
      <alignment vertical="center"/>
    </xf>
    <xf numFmtId="0" fontId="11" fillId="0" borderId="22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20" fontId="21" fillId="20" borderId="17" xfId="0" applyNumberFormat="1" applyFont="1" applyFill="1" applyBorder="1" applyAlignment="1">
      <alignment horizontal="center" vertical="center"/>
    </xf>
    <xf numFmtId="0" fontId="21" fillId="20" borderId="16" xfId="0" applyFont="1" applyFill="1" applyBorder="1">
      <alignment vertical="center"/>
    </xf>
    <xf numFmtId="0" fontId="21" fillId="20" borderId="16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1" fillId="20" borderId="18" xfId="0" applyFont="1" applyFill="1" applyBorder="1" applyAlignment="1">
      <alignment horizontal="center" vertical="center"/>
    </xf>
    <xf numFmtId="20" fontId="1" fillId="7" borderId="76" xfId="0" applyNumberFormat="1" applyFont="1" applyFill="1" applyBorder="1" applyAlignment="1">
      <alignment horizontal="center" vertical="center"/>
    </xf>
    <xf numFmtId="0" fontId="1" fillId="7" borderId="77" xfId="0" applyFont="1" applyFill="1" applyBorder="1" applyAlignment="1">
      <alignment horizontal="center" vertical="center"/>
    </xf>
    <xf numFmtId="20" fontId="1" fillId="7" borderId="127" xfId="0" applyNumberFormat="1" applyFont="1" applyFill="1" applyBorder="1" applyAlignment="1">
      <alignment horizontal="center" vertical="center"/>
    </xf>
    <xf numFmtId="0" fontId="1" fillId="7" borderId="123" xfId="0" applyFont="1" applyFill="1" applyBorder="1">
      <alignment vertical="center"/>
    </xf>
    <xf numFmtId="0" fontId="1" fillId="7" borderId="123" xfId="0" applyFont="1" applyFill="1" applyBorder="1" applyAlignment="1">
      <alignment horizontal="center" vertical="center"/>
    </xf>
    <xf numFmtId="0" fontId="1" fillId="7" borderId="128" xfId="0" applyFont="1" applyFill="1" applyBorder="1" applyAlignment="1">
      <alignment horizontal="center" vertical="center"/>
    </xf>
    <xf numFmtId="0" fontId="1" fillId="20" borderId="11" xfId="0" applyFont="1" applyFill="1" applyBorder="1">
      <alignment vertical="center"/>
    </xf>
    <xf numFmtId="0" fontId="1" fillId="20" borderId="170" xfId="0" applyFont="1" applyFill="1" applyBorder="1">
      <alignment vertical="center"/>
    </xf>
    <xf numFmtId="0" fontId="21" fillId="20" borderId="170" xfId="0" applyFont="1" applyFill="1" applyBorder="1" applyAlignment="1">
      <alignment horizontal="center" vertical="center"/>
    </xf>
    <xf numFmtId="20" fontId="21" fillId="20" borderId="317" xfId="0" applyNumberFormat="1" applyFont="1" applyFill="1" applyBorder="1" applyAlignment="1">
      <alignment horizontal="center" vertical="center"/>
    </xf>
    <xf numFmtId="20" fontId="1" fillId="16" borderId="127" xfId="0" applyNumberFormat="1" applyFont="1" applyFill="1" applyBorder="1" applyAlignment="1">
      <alignment horizontal="center" vertical="center"/>
    </xf>
    <xf numFmtId="0" fontId="1" fillId="16" borderId="123" xfId="0" applyFont="1" applyFill="1" applyBorder="1">
      <alignment vertical="center"/>
    </xf>
    <xf numFmtId="0" fontId="1" fillId="16" borderId="123" xfId="0" applyFont="1" applyFill="1" applyBorder="1" applyAlignment="1">
      <alignment horizontal="center" vertical="center"/>
    </xf>
    <xf numFmtId="20" fontId="21" fillId="20" borderId="76" xfId="0" applyNumberFormat="1" applyFont="1" applyFill="1" applyBorder="1" applyAlignment="1">
      <alignment horizontal="center" vertical="center"/>
    </xf>
    <xf numFmtId="0" fontId="21" fillId="20" borderId="77" xfId="0" applyFont="1" applyFill="1" applyBorder="1" applyAlignment="1">
      <alignment horizontal="center" vertical="center"/>
    </xf>
    <xf numFmtId="20" fontId="1" fillId="15" borderId="12" xfId="0" applyNumberFormat="1" applyFont="1" applyFill="1" applyBorder="1" applyAlignment="1">
      <alignment horizontal="center" vertical="center"/>
    </xf>
    <xf numFmtId="0" fontId="1" fillId="15" borderId="17" xfId="0" applyFont="1" applyFill="1" applyBorder="1" applyAlignment="1">
      <alignment horizontal="center" vertical="center"/>
    </xf>
    <xf numFmtId="0" fontId="1" fillId="15" borderId="27" xfId="0" applyFont="1" applyFill="1" applyBorder="1" applyAlignment="1">
      <alignment horizontal="center" vertical="center"/>
    </xf>
    <xf numFmtId="0" fontId="4" fillId="0" borderId="16" xfId="0" applyFont="1" applyBorder="1">
      <alignment vertical="center"/>
    </xf>
    <xf numFmtId="0" fontId="1" fillId="6" borderId="11" xfId="0" applyFont="1" applyFill="1" applyBorder="1" applyAlignment="1">
      <alignment horizontal="center" vertical="center"/>
    </xf>
    <xf numFmtId="0" fontId="3" fillId="3" borderId="318" xfId="0" applyFont="1" applyFill="1" applyBorder="1" applyAlignment="1">
      <alignment horizontal="center" vertical="center"/>
    </xf>
    <xf numFmtId="0" fontId="1" fillId="2" borderId="319" xfId="0" applyFont="1" applyFill="1" applyBorder="1" applyAlignment="1">
      <alignment horizontal="center" vertical="center"/>
    </xf>
    <xf numFmtId="0" fontId="1" fillId="2" borderId="320" xfId="0" applyFont="1" applyFill="1" applyBorder="1" applyAlignment="1">
      <alignment horizontal="center" vertical="center"/>
    </xf>
    <xf numFmtId="20" fontId="1" fillId="0" borderId="321" xfId="0" applyNumberFormat="1" applyFont="1" applyBorder="1" applyAlignment="1">
      <alignment horizontal="center" vertical="center"/>
    </xf>
    <xf numFmtId="0" fontId="1" fillId="0" borderId="322" xfId="0" applyFont="1" applyBorder="1" applyAlignment="1">
      <alignment horizontal="center" vertical="center"/>
    </xf>
    <xf numFmtId="0" fontId="1" fillId="0" borderId="323" xfId="0" applyFont="1" applyBorder="1" applyAlignment="1">
      <alignment horizontal="center" vertical="center"/>
    </xf>
    <xf numFmtId="0" fontId="1" fillId="0" borderId="324" xfId="0" applyFont="1" applyBorder="1" applyAlignment="1">
      <alignment horizontal="center" vertical="center"/>
    </xf>
    <xf numFmtId="0" fontId="1" fillId="0" borderId="325" xfId="0" applyFont="1" applyBorder="1" applyAlignment="1">
      <alignment horizontal="center" vertical="center"/>
    </xf>
    <xf numFmtId="0" fontId="1" fillId="0" borderId="326" xfId="0" applyFont="1" applyBorder="1" applyAlignment="1">
      <alignment horizontal="center" vertical="center"/>
    </xf>
    <xf numFmtId="20" fontId="1" fillId="5" borderId="329" xfId="0" applyNumberFormat="1" applyFont="1" applyFill="1" applyBorder="1" applyAlignment="1">
      <alignment horizontal="center" vertical="center"/>
    </xf>
    <xf numFmtId="0" fontId="1" fillId="0" borderId="332" xfId="0" applyFont="1" applyBorder="1" applyAlignment="1">
      <alignment horizontal="center" vertical="center"/>
    </xf>
    <xf numFmtId="0" fontId="1" fillId="0" borderId="333" xfId="0" applyFont="1" applyBorder="1" applyAlignment="1">
      <alignment horizontal="center" vertical="center"/>
    </xf>
    <xf numFmtId="0" fontId="3" fillId="3" borderId="334" xfId="0" applyFont="1" applyFill="1" applyBorder="1" applyAlignment="1">
      <alignment horizontal="center" vertical="center"/>
    </xf>
    <xf numFmtId="0" fontId="1" fillId="2" borderId="335" xfId="0" applyFont="1" applyFill="1" applyBorder="1" applyAlignment="1">
      <alignment horizontal="center" vertical="center"/>
    </xf>
    <xf numFmtId="20" fontId="1" fillId="6" borderId="323" xfId="0" applyNumberFormat="1" applyFont="1" applyFill="1" applyBorder="1" applyAlignment="1">
      <alignment horizontal="center" vertical="center"/>
    </xf>
    <xf numFmtId="0" fontId="1" fillId="6" borderId="324" xfId="0" applyFont="1" applyFill="1" applyBorder="1" applyAlignment="1">
      <alignment horizontal="center" vertical="center"/>
    </xf>
    <xf numFmtId="20" fontId="23" fillId="19" borderId="336" xfId="0" applyNumberFormat="1" applyFont="1" applyFill="1" applyBorder="1" applyAlignment="1">
      <alignment horizontal="center" vertical="center"/>
    </xf>
    <xf numFmtId="0" fontId="23" fillId="19" borderId="337" xfId="0" applyFont="1" applyFill="1" applyBorder="1">
      <alignment vertical="center"/>
    </xf>
    <xf numFmtId="0" fontId="23" fillId="19" borderId="337" xfId="0" applyFont="1" applyFill="1" applyBorder="1" applyAlignment="1">
      <alignment horizontal="center" vertical="center"/>
    </xf>
    <xf numFmtId="0" fontId="23" fillId="19" borderId="338" xfId="0" applyFont="1" applyFill="1" applyBorder="1" applyAlignment="1">
      <alignment horizontal="center" vertical="center"/>
    </xf>
    <xf numFmtId="20" fontId="23" fillId="11" borderId="57" xfId="0" applyNumberFormat="1" applyFont="1" applyFill="1" applyBorder="1" applyAlignment="1">
      <alignment horizontal="center" vertical="center"/>
    </xf>
    <xf numFmtId="0" fontId="23" fillId="11" borderId="55" xfId="0" applyFont="1" applyFill="1" applyBorder="1">
      <alignment vertical="center"/>
    </xf>
    <xf numFmtId="0" fontId="23" fillId="11" borderId="55" xfId="0" applyFont="1" applyFill="1" applyBorder="1" applyAlignment="1">
      <alignment horizontal="center" vertical="center"/>
    </xf>
    <xf numFmtId="0" fontId="23" fillId="11" borderId="58" xfId="0" applyFont="1" applyFill="1" applyBorder="1" applyAlignment="1">
      <alignment horizontal="center" vertical="center"/>
    </xf>
    <xf numFmtId="20" fontId="1" fillId="14" borderId="40" xfId="0" applyNumberFormat="1" applyFont="1" applyFill="1" applyBorder="1" applyAlignment="1">
      <alignment horizontal="center" vertical="center"/>
    </xf>
    <xf numFmtId="0" fontId="1" fillId="14" borderId="39" xfId="0" applyFont="1" applyFill="1" applyBorder="1">
      <alignment vertical="center"/>
    </xf>
    <xf numFmtId="0" fontId="1" fillId="14" borderId="39" xfId="0" applyFont="1" applyFill="1" applyBorder="1" applyAlignment="1">
      <alignment horizontal="center" vertical="center"/>
    </xf>
    <xf numFmtId="0" fontId="1" fillId="14" borderId="42" xfId="0" applyFont="1" applyFill="1" applyBorder="1" applyAlignment="1">
      <alignment horizontal="center" vertical="center"/>
    </xf>
    <xf numFmtId="20" fontId="1" fillId="16" borderId="10" xfId="0" applyNumberFormat="1" applyFont="1" applyFill="1" applyBorder="1" applyAlignment="1">
      <alignment horizontal="center" vertical="center"/>
    </xf>
    <xf numFmtId="0" fontId="1" fillId="16" borderId="11" xfId="0" applyFont="1" applyFill="1" applyBorder="1">
      <alignment vertical="center"/>
    </xf>
    <xf numFmtId="0" fontId="1" fillId="16" borderId="11" xfId="0" applyFont="1" applyFill="1" applyBorder="1" applyAlignment="1">
      <alignment horizontal="center" vertical="center"/>
    </xf>
    <xf numFmtId="0" fontId="1" fillId="16" borderId="136" xfId="0" applyFont="1" applyFill="1" applyBorder="1" applyAlignment="1">
      <alignment horizontal="center" vertical="center"/>
    </xf>
    <xf numFmtId="20" fontId="1" fillId="14" borderId="116" xfId="0" applyNumberFormat="1" applyFont="1" applyFill="1" applyBorder="1" applyAlignment="1">
      <alignment horizontal="center" vertical="center"/>
    </xf>
    <xf numFmtId="0" fontId="1" fillId="14" borderId="41" xfId="0" applyFont="1" applyFill="1" applyBorder="1" applyAlignment="1">
      <alignment horizontal="center" vertical="center"/>
    </xf>
    <xf numFmtId="20" fontId="1" fillId="14" borderId="249" xfId="0" applyNumberFormat="1" applyFont="1" applyFill="1" applyBorder="1" applyAlignment="1">
      <alignment horizontal="center" vertical="center"/>
    </xf>
    <xf numFmtId="0" fontId="1" fillId="14" borderId="247" xfId="0" applyFont="1" applyFill="1" applyBorder="1">
      <alignment vertical="center"/>
    </xf>
    <xf numFmtId="0" fontId="1" fillId="14" borderId="247" xfId="0" applyFont="1" applyFill="1" applyBorder="1" applyAlignment="1">
      <alignment horizontal="center" vertical="center"/>
    </xf>
    <xf numFmtId="0" fontId="1" fillId="14" borderId="250" xfId="0" applyFont="1" applyFill="1" applyBorder="1" applyAlignment="1">
      <alignment horizontal="center" vertical="center"/>
    </xf>
    <xf numFmtId="0" fontId="1" fillId="5" borderId="342" xfId="0" applyFont="1" applyFill="1" applyBorder="1" applyAlignment="1">
      <alignment horizontal="center" vertical="center"/>
    </xf>
    <xf numFmtId="20" fontId="1" fillId="13" borderId="38" xfId="0" applyNumberFormat="1" applyFont="1" applyFill="1" applyBorder="1" applyAlignment="1">
      <alignment horizontal="center" vertical="center"/>
    </xf>
    <xf numFmtId="0" fontId="1" fillId="13" borderId="39" xfId="0" applyFont="1" applyFill="1" applyBorder="1">
      <alignment vertical="center"/>
    </xf>
    <xf numFmtId="0" fontId="1" fillId="13" borderId="39" xfId="0" applyFont="1" applyFill="1" applyBorder="1" applyAlignment="1">
      <alignment horizontal="center" vertical="center"/>
    </xf>
    <xf numFmtId="0" fontId="1" fillId="13" borderId="31" xfId="0" applyFont="1" applyFill="1" applyBorder="1" applyAlignment="1">
      <alignment horizontal="center" vertical="center"/>
    </xf>
    <xf numFmtId="20" fontId="1" fillId="5" borderId="330" xfId="0" applyNumberFormat="1" applyFont="1" applyFill="1" applyBorder="1" applyAlignment="1">
      <alignment horizontal="center" vertical="center"/>
    </xf>
    <xf numFmtId="0" fontId="1" fillId="5" borderId="55" xfId="0" applyFont="1" applyFill="1" applyBorder="1" applyAlignment="1">
      <alignment horizontal="centerContinuous" vertical="center"/>
    </xf>
    <xf numFmtId="0" fontId="1" fillId="5" borderId="331" xfId="0" applyFont="1" applyFill="1" applyBorder="1" applyAlignment="1">
      <alignment horizontal="centerContinuous" vertical="center"/>
    </xf>
    <xf numFmtId="0" fontId="30" fillId="11" borderId="16" xfId="0" applyFont="1" applyFill="1" applyBorder="1">
      <alignment vertical="center"/>
    </xf>
    <xf numFmtId="20" fontId="14" fillId="6" borderId="57" xfId="0" applyNumberFormat="1" applyFont="1" applyFill="1" applyBorder="1" applyAlignment="1">
      <alignment horizontal="center" vertical="center"/>
    </xf>
    <xf numFmtId="0" fontId="14" fillId="6" borderId="55" xfId="0" applyFont="1" applyFill="1" applyBorder="1">
      <alignment vertical="center"/>
    </xf>
    <xf numFmtId="0" fontId="14" fillId="6" borderId="55" xfId="0" applyFont="1" applyFill="1" applyBorder="1" applyAlignment="1">
      <alignment horizontal="center" vertical="center"/>
    </xf>
    <xf numFmtId="0" fontId="14" fillId="6" borderId="58" xfId="0" applyFont="1" applyFill="1" applyBorder="1" applyAlignment="1">
      <alignment horizontal="center" vertical="center"/>
    </xf>
    <xf numFmtId="20" fontId="11" fillId="5" borderId="61" xfId="0" applyNumberFormat="1" applyFont="1" applyFill="1" applyBorder="1" applyAlignment="1">
      <alignment horizontal="center" vertical="center"/>
    </xf>
    <xf numFmtId="0" fontId="31" fillId="5" borderId="62" xfId="0" applyFont="1" applyFill="1" applyBorder="1">
      <alignment vertical="center"/>
    </xf>
    <xf numFmtId="0" fontId="11" fillId="5" borderId="62" xfId="0" applyFont="1" applyFill="1" applyBorder="1" applyAlignment="1">
      <alignment horizontal="center" vertical="center"/>
    </xf>
    <xf numFmtId="0" fontId="11" fillId="5" borderId="60" xfId="0" applyFont="1" applyFill="1" applyBorder="1" applyAlignment="1">
      <alignment horizontal="center" vertical="center"/>
    </xf>
    <xf numFmtId="0" fontId="3" fillId="23" borderId="6" xfId="0" applyFont="1" applyFill="1" applyBorder="1" applyAlignment="1">
      <alignment horizontal="center" vertical="center"/>
    </xf>
    <xf numFmtId="0" fontId="1" fillId="23" borderId="4" xfId="0" applyFont="1" applyFill="1" applyBorder="1" applyAlignment="1">
      <alignment horizontal="center" vertical="center"/>
    </xf>
    <xf numFmtId="0" fontId="1" fillId="23" borderId="7" xfId="0" applyFont="1" applyFill="1" applyBorder="1" applyAlignment="1">
      <alignment horizontal="center" vertical="center"/>
    </xf>
    <xf numFmtId="20" fontId="1" fillId="23" borderId="40" xfId="0" applyNumberFormat="1" applyFont="1" applyFill="1" applyBorder="1" applyAlignment="1">
      <alignment horizontal="center" vertical="center"/>
    </xf>
    <xf numFmtId="0" fontId="1" fillId="23" borderId="39" xfId="0" applyFont="1" applyFill="1" applyBorder="1">
      <alignment vertical="center"/>
    </xf>
    <xf numFmtId="0" fontId="1" fillId="23" borderId="39" xfId="0" applyFont="1" applyFill="1" applyBorder="1" applyAlignment="1">
      <alignment horizontal="center" vertical="center"/>
    </xf>
    <xf numFmtId="0" fontId="1" fillId="23" borderId="41" xfId="0" applyFont="1" applyFill="1" applyBorder="1" applyAlignment="1">
      <alignment horizontal="center" vertical="center"/>
    </xf>
    <xf numFmtId="0" fontId="1" fillId="23" borderId="12" xfId="0" applyFont="1" applyFill="1" applyBorder="1" applyAlignment="1">
      <alignment horizontal="center" vertical="center"/>
    </xf>
    <xf numFmtId="0" fontId="1" fillId="23" borderId="11" xfId="0" applyFont="1" applyFill="1" applyBorder="1">
      <alignment vertical="center"/>
    </xf>
    <xf numFmtId="0" fontId="1" fillId="23" borderId="11" xfId="0" applyFont="1" applyFill="1" applyBorder="1" applyAlignment="1">
      <alignment horizontal="center" vertical="center"/>
    </xf>
    <xf numFmtId="0" fontId="1" fillId="23" borderId="13" xfId="0" applyFont="1" applyFill="1" applyBorder="1" applyAlignment="1">
      <alignment horizontal="center" vertical="center"/>
    </xf>
    <xf numFmtId="20" fontId="1" fillId="23" borderId="12" xfId="0" applyNumberFormat="1" applyFont="1" applyFill="1" applyBorder="1" applyAlignment="1">
      <alignment horizontal="center" vertical="center"/>
    </xf>
    <xf numFmtId="0" fontId="1" fillId="23" borderId="17" xfId="0" applyFont="1" applyFill="1" applyBorder="1" applyAlignment="1">
      <alignment horizontal="center" vertical="center"/>
    </xf>
    <xf numFmtId="0" fontId="1" fillId="23" borderId="16" xfId="0" applyFont="1" applyFill="1" applyBorder="1">
      <alignment vertical="center"/>
    </xf>
    <xf numFmtId="0" fontId="1" fillId="23" borderId="16" xfId="0" applyFont="1" applyFill="1" applyBorder="1" applyAlignment="1">
      <alignment horizontal="center" vertical="center"/>
    </xf>
    <xf numFmtId="0" fontId="1" fillId="23" borderId="18" xfId="0" applyFont="1" applyFill="1" applyBorder="1" applyAlignment="1">
      <alignment horizontal="center" vertical="center"/>
    </xf>
    <xf numFmtId="20" fontId="1" fillId="23" borderId="63" xfId="0" applyNumberFormat="1" applyFont="1" applyFill="1" applyBorder="1" applyAlignment="1">
      <alignment horizontal="center" vertical="center"/>
    </xf>
    <xf numFmtId="0" fontId="1" fillId="23" borderId="62" xfId="0" applyFont="1" applyFill="1" applyBorder="1">
      <alignment vertical="center"/>
    </xf>
    <xf numFmtId="0" fontId="1" fillId="23" borderId="62" xfId="0" applyFont="1" applyFill="1" applyBorder="1" applyAlignment="1">
      <alignment horizontal="center" vertical="center"/>
    </xf>
    <xf numFmtId="0" fontId="1" fillId="23" borderId="64" xfId="0" applyFont="1" applyFill="1" applyBorder="1" applyAlignment="1">
      <alignment horizontal="center" vertical="center"/>
    </xf>
    <xf numFmtId="20" fontId="1" fillId="23" borderId="57" xfId="0" applyNumberFormat="1" applyFont="1" applyFill="1" applyBorder="1" applyAlignment="1">
      <alignment horizontal="center" vertical="center"/>
    </xf>
    <xf numFmtId="0" fontId="1" fillId="23" borderId="55" xfId="0" applyFont="1" applyFill="1" applyBorder="1">
      <alignment vertical="center"/>
    </xf>
    <xf numFmtId="0" fontId="1" fillId="23" borderId="55" xfId="0" applyFont="1" applyFill="1" applyBorder="1" applyAlignment="1">
      <alignment horizontal="center" vertical="center"/>
    </xf>
    <xf numFmtId="0" fontId="1" fillId="23" borderId="58" xfId="0" applyFont="1" applyFill="1" applyBorder="1" applyAlignment="1">
      <alignment horizontal="center" vertical="center"/>
    </xf>
    <xf numFmtId="0" fontId="1" fillId="23" borderId="23" xfId="0" applyFont="1" applyFill="1" applyBorder="1" applyAlignment="1">
      <alignment horizontal="center" vertical="center"/>
    </xf>
    <xf numFmtId="0" fontId="1" fillId="23" borderId="22" xfId="0" applyFont="1" applyFill="1" applyBorder="1">
      <alignment vertical="center"/>
    </xf>
    <xf numFmtId="0" fontId="1" fillId="23" borderId="22" xfId="0" applyFont="1" applyFill="1" applyBorder="1" applyAlignment="1">
      <alignment horizontal="center" vertical="center"/>
    </xf>
    <xf numFmtId="0" fontId="1" fillId="23" borderId="24" xfId="0" applyFont="1" applyFill="1" applyBorder="1" applyAlignment="1">
      <alignment horizontal="center" vertical="center"/>
    </xf>
    <xf numFmtId="20" fontId="1" fillId="24" borderId="40" xfId="0" applyNumberFormat="1" applyFont="1" applyFill="1" applyBorder="1" applyAlignment="1">
      <alignment horizontal="center" vertical="center"/>
    </xf>
    <xf numFmtId="0" fontId="1" fillId="24" borderId="39" xfId="0" applyFont="1" applyFill="1" applyBorder="1">
      <alignment vertical="center"/>
    </xf>
    <xf numFmtId="0" fontId="1" fillId="24" borderId="39" xfId="0" applyFont="1" applyFill="1" applyBorder="1" applyAlignment="1">
      <alignment horizontal="center" vertical="center"/>
    </xf>
    <xf numFmtId="0" fontId="1" fillId="24" borderId="41" xfId="0" applyFont="1" applyFill="1" applyBorder="1" applyAlignment="1">
      <alignment horizontal="center" vertical="center"/>
    </xf>
    <xf numFmtId="0" fontId="1" fillId="24" borderId="42" xfId="0" applyFont="1" applyFill="1" applyBorder="1" applyAlignment="1">
      <alignment horizontal="center" vertical="center"/>
    </xf>
    <xf numFmtId="0" fontId="1" fillId="24" borderId="12" xfId="0" applyFont="1" applyFill="1" applyBorder="1" applyAlignment="1">
      <alignment horizontal="center" vertical="center"/>
    </xf>
    <xf numFmtId="0" fontId="1" fillId="24" borderId="11" xfId="0" applyFont="1" applyFill="1" applyBorder="1">
      <alignment vertical="center"/>
    </xf>
    <xf numFmtId="0" fontId="1" fillId="24" borderId="11" xfId="0" applyFont="1" applyFill="1" applyBorder="1" applyAlignment="1">
      <alignment horizontal="center" vertical="center"/>
    </xf>
    <xf numFmtId="0" fontId="1" fillId="24" borderId="13" xfId="0" applyFont="1" applyFill="1" applyBorder="1" applyAlignment="1">
      <alignment horizontal="center" vertical="center"/>
    </xf>
    <xf numFmtId="0" fontId="1" fillId="24" borderId="26" xfId="0" applyFont="1" applyFill="1" applyBorder="1" applyAlignment="1">
      <alignment horizontal="center" vertical="center"/>
    </xf>
    <xf numFmtId="0" fontId="1" fillId="24" borderId="17" xfId="0" applyFont="1" applyFill="1" applyBorder="1" applyAlignment="1">
      <alignment horizontal="center" vertical="center"/>
    </xf>
    <xf numFmtId="0" fontId="1" fillId="24" borderId="16" xfId="0" applyFont="1" applyFill="1" applyBorder="1">
      <alignment vertical="center"/>
    </xf>
    <xf numFmtId="0" fontId="1" fillId="24" borderId="16" xfId="0" applyFont="1" applyFill="1" applyBorder="1" applyAlignment="1">
      <alignment horizontal="center" vertical="center"/>
    </xf>
    <xf numFmtId="0" fontId="1" fillId="24" borderId="18" xfId="0" applyFont="1" applyFill="1" applyBorder="1" applyAlignment="1">
      <alignment horizontal="center" vertical="center"/>
    </xf>
    <xf numFmtId="0" fontId="1" fillId="24" borderId="27" xfId="0" applyFont="1" applyFill="1" applyBorder="1" applyAlignment="1">
      <alignment horizontal="center" vertical="center"/>
    </xf>
    <xf numFmtId="0" fontId="1" fillId="24" borderId="23" xfId="0" applyFont="1" applyFill="1" applyBorder="1" applyAlignment="1">
      <alignment horizontal="center" vertical="center"/>
    </xf>
    <xf numFmtId="0" fontId="1" fillId="24" borderId="22" xfId="0" applyFont="1" applyFill="1" applyBorder="1">
      <alignment vertical="center"/>
    </xf>
    <xf numFmtId="0" fontId="1" fillId="24" borderId="22" xfId="0" applyFont="1" applyFill="1" applyBorder="1" applyAlignment="1">
      <alignment horizontal="center" vertical="center"/>
    </xf>
    <xf numFmtId="0" fontId="1" fillId="24" borderId="24" xfId="0" applyFont="1" applyFill="1" applyBorder="1" applyAlignment="1">
      <alignment horizontal="center" vertical="center"/>
    </xf>
    <xf numFmtId="0" fontId="1" fillId="24" borderId="28" xfId="0" applyFont="1" applyFill="1" applyBorder="1" applyAlignment="1">
      <alignment horizontal="center" vertical="center"/>
    </xf>
    <xf numFmtId="0" fontId="34" fillId="3" borderId="6" xfId="0" applyFont="1" applyFill="1" applyBorder="1" applyAlignment="1">
      <alignment horizontal="center" vertical="center"/>
    </xf>
    <xf numFmtId="0" fontId="35" fillId="25" borderId="4" xfId="0" applyFont="1" applyFill="1" applyBorder="1" applyAlignment="1">
      <alignment horizontal="center" vertical="center"/>
    </xf>
    <xf numFmtId="0" fontId="35" fillId="25" borderId="7" xfId="0" applyFont="1" applyFill="1" applyBorder="1" applyAlignment="1">
      <alignment horizontal="center" vertical="center"/>
    </xf>
    <xf numFmtId="0" fontId="35" fillId="25" borderId="25" xfId="0" applyFont="1" applyFill="1" applyBorder="1" applyAlignment="1">
      <alignment horizontal="center" vertical="center"/>
    </xf>
    <xf numFmtId="20" fontId="1" fillId="24" borderId="12" xfId="0" applyNumberFormat="1" applyFont="1" applyFill="1" applyBorder="1" applyAlignment="1">
      <alignment horizontal="center" vertical="center"/>
    </xf>
    <xf numFmtId="20" fontId="1" fillId="24" borderId="23" xfId="0" applyNumberFormat="1" applyFont="1" applyFill="1" applyBorder="1" applyAlignment="1">
      <alignment horizontal="center" vertical="center"/>
    </xf>
    <xf numFmtId="20" fontId="1" fillId="24" borderId="38" xfId="0" applyNumberFormat="1" applyFont="1" applyFill="1" applyBorder="1" applyAlignment="1">
      <alignment horizontal="center" vertical="center"/>
    </xf>
    <xf numFmtId="0" fontId="1" fillId="24" borderId="31" xfId="0" applyFont="1" applyFill="1" applyBorder="1" applyAlignment="1">
      <alignment horizontal="center" vertical="center"/>
    </xf>
    <xf numFmtId="0" fontId="1" fillId="24" borderId="10" xfId="0" applyFont="1" applyFill="1" applyBorder="1" applyAlignment="1">
      <alignment horizontal="center" vertical="center"/>
    </xf>
    <xf numFmtId="0" fontId="1" fillId="24" borderId="9" xfId="0" applyFont="1" applyFill="1" applyBorder="1" applyAlignment="1">
      <alignment horizontal="center" vertical="center"/>
    </xf>
    <xf numFmtId="0" fontId="1" fillId="24" borderId="15" xfId="0" applyFont="1" applyFill="1" applyBorder="1" applyAlignment="1">
      <alignment horizontal="center" vertical="center"/>
    </xf>
    <xf numFmtId="0" fontId="1" fillId="24" borderId="14" xfId="0" applyFont="1" applyFill="1" applyBorder="1" applyAlignment="1">
      <alignment horizontal="center" vertical="center"/>
    </xf>
    <xf numFmtId="0" fontId="1" fillId="24" borderId="21" xfId="0" applyFont="1" applyFill="1" applyBorder="1" applyAlignment="1">
      <alignment horizontal="center" vertical="center"/>
    </xf>
    <xf numFmtId="0" fontId="1" fillId="24" borderId="20" xfId="0" applyFont="1" applyFill="1" applyBorder="1" applyAlignment="1">
      <alignment horizontal="center" vertical="center"/>
    </xf>
    <xf numFmtId="0" fontId="34" fillId="3" borderId="3" xfId="0" applyFont="1" applyFill="1" applyBorder="1" applyAlignment="1">
      <alignment horizontal="center" vertical="center"/>
    </xf>
    <xf numFmtId="0" fontId="35" fillId="25" borderId="5" xfId="0" applyFont="1" applyFill="1" applyBorder="1" applyAlignment="1">
      <alignment horizontal="center" vertical="center"/>
    </xf>
    <xf numFmtId="0" fontId="34" fillId="23" borderId="6" xfId="0" applyFont="1" applyFill="1" applyBorder="1" applyAlignment="1">
      <alignment horizontal="center" vertical="center"/>
    </xf>
    <xf numFmtId="0" fontId="35" fillId="23" borderId="4" xfId="0" applyFont="1" applyFill="1" applyBorder="1" applyAlignment="1">
      <alignment horizontal="center" vertical="center"/>
    </xf>
    <xf numFmtId="0" fontId="35" fillId="23" borderId="7" xfId="0" applyFont="1" applyFill="1" applyBorder="1" applyAlignment="1">
      <alignment horizontal="center" vertical="center"/>
    </xf>
    <xf numFmtId="0" fontId="35" fillId="23" borderId="25" xfId="0" applyFont="1" applyFill="1" applyBorder="1" applyAlignment="1">
      <alignment horizontal="center" vertical="center"/>
    </xf>
    <xf numFmtId="0" fontId="1" fillId="23" borderId="42" xfId="0" applyFont="1" applyFill="1" applyBorder="1" applyAlignment="1">
      <alignment horizontal="center" vertical="center"/>
    </xf>
    <xf numFmtId="0" fontId="1" fillId="23" borderId="26" xfId="0" applyFont="1" applyFill="1" applyBorder="1" applyAlignment="1">
      <alignment horizontal="center" vertical="center"/>
    </xf>
    <xf numFmtId="0" fontId="1" fillId="23" borderId="27" xfId="0" applyFont="1" applyFill="1" applyBorder="1" applyAlignment="1">
      <alignment horizontal="center" vertical="center"/>
    </xf>
    <xf numFmtId="0" fontId="1" fillId="23" borderId="65" xfId="0" applyFont="1" applyFill="1" applyBorder="1" applyAlignment="1">
      <alignment horizontal="center" vertical="center"/>
    </xf>
    <xf numFmtId="0" fontId="1" fillId="23" borderId="59" xfId="0" applyFont="1" applyFill="1" applyBorder="1" applyAlignment="1">
      <alignment horizontal="center" vertical="center"/>
    </xf>
    <xf numFmtId="0" fontId="1" fillId="23" borderId="28" xfId="0" applyFont="1" applyFill="1" applyBorder="1" applyAlignment="1">
      <alignment horizontal="center" vertical="center"/>
    </xf>
    <xf numFmtId="20" fontId="1" fillId="6" borderId="12" xfId="0" applyNumberFormat="1" applyFont="1" applyFill="1" applyBorder="1" applyAlignment="1">
      <alignment horizontal="center" vertical="center"/>
    </xf>
    <xf numFmtId="0" fontId="4" fillId="5" borderId="62" xfId="0" applyFont="1" applyFill="1" applyBorder="1">
      <alignment vertical="center"/>
    </xf>
    <xf numFmtId="0" fontId="4" fillId="5" borderId="62" xfId="0" applyFont="1" applyFill="1" applyBorder="1" applyAlignment="1">
      <alignment horizontal="center" vertical="center"/>
    </xf>
    <xf numFmtId="0" fontId="5" fillId="0" borderId="346" xfId="0" applyFont="1" applyBorder="1" applyAlignment="1">
      <alignment horizontal="left" vertical="center"/>
    </xf>
    <xf numFmtId="0" fontId="1" fillId="0" borderId="347" xfId="0" applyFont="1" applyBorder="1" applyAlignment="1">
      <alignment horizontal="center" vertical="center"/>
    </xf>
    <xf numFmtId="0" fontId="5" fillId="6" borderId="346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20" fontId="21" fillId="26" borderId="63" xfId="0" applyNumberFormat="1" applyFont="1" applyFill="1" applyBorder="1" applyAlignment="1">
      <alignment horizontal="center" vertical="center"/>
    </xf>
    <xf numFmtId="0" fontId="39" fillId="26" borderId="62" xfId="0" applyFont="1" applyFill="1" applyBorder="1">
      <alignment vertical="center"/>
    </xf>
    <xf numFmtId="0" fontId="39" fillId="26" borderId="62" xfId="0" applyFont="1" applyFill="1" applyBorder="1" applyAlignment="1">
      <alignment horizontal="center" vertical="center"/>
    </xf>
    <xf numFmtId="0" fontId="39" fillId="26" borderId="64" xfId="0" applyFont="1" applyFill="1" applyBorder="1" applyAlignment="1">
      <alignment horizontal="center" vertical="center"/>
    </xf>
    <xf numFmtId="0" fontId="40" fillId="26" borderId="62" xfId="0" applyFont="1" applyFill="1" applyBorder="1" applyAlignment="1">
      <alignment horizontal="center" vertical="center"/>
    </xf>
    <xf numFmtId="0" fontId="40" fillId="26" borderId="65" xfId="0" applyFont="1" applyFill="1" applyBorder="1" applyAlignment="1">
      <alignment horizontal="center" vertical="center"/>
    </xf>
    <xf numFmtId="0" fontId="41" fillId="6" borderId="11" xfId="0" applyFont="1" applyFill="1" applyBorder="1" applyAlignment="1">
      <alignment horizontal="center" vertical="center"/>
    </xf>
    <xf numFmtId="0" fontId="41" fillId="6" borderId="13" xfId="0" applyFont="1" applyFill="1" applyBorder="1" applyAlignment="1">
      <alignment horizontal="center" vertical="center"/>
    </xf>
    <xf numFmtId="0" fontId="26" fillId="6" borderId="11" xfId="0" applyFont="1" applyFill="1" applyBorder="1">
      <alignment vertical="center"/>
    </xf>
    <xf numFmtId="0" fontId="1" fillId="6" borderId="26" xfId="0" applyFont="1" applyFill="1" applyBorder="1" applyAlignment="1">
      <alignment horizontal="center" vertical="center"/>
    </xf>
    <xf numFmtId="0" fontId="42" fillId="6" borderId="11" xfId="0" applyFont="1" applyFill="1" applyBorder="1">
      <alignment vertical="center"/>
    </xf>
    <xf numFmtId="0" fontId="21" fillId="19" borderId="39" xfId="0" applyFont="1" applyFill="1" applyBorder="1">
      <alignment vertical="center"/>
    </xf>
    <xf numFmtId="20" fontId="1" fillId="9" borderId="38" xfId="0" applyNumberFormat="1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horizontal="center" vertical="center"/>
    </xf>
    <xf numFmtId="0" fontId="44" fillId="2" borderId="67" xfId="0" applyFont="1" applyFill="1" applyBorder="1" applyAlignment="1">
      <alignment horizontal="centerContinuous" vertical="center"/>
    </xf>
    <xf numFmtId="20" fontId="1" fillId="15" borderId="93" xfId="0" applyNumberFormat="1" applyFont="1" applyFill="1" applyBorder="1" applyAlignment="1">
      <alignment horizontal="center" vertical="center"/>
    </xf>
    <xf numFmtId="0" fontId="1" fillId="5" borderId="348" xfId="0" applyFont="1" applyFill="1" applyBorder="1" applyAlignment="1">
      <alignment horizontal="center" vertical="center"/>
    </xf>
    <xf numFmtId="20" fontId="1" fillId="5" borderId="349" xfId="0" applyNumberFormat="1" applyFont="1" applyFill="1" applyBorder="1" applyAlignment="1">
      <alignment horizontal="center" vertical="center"/>
    </xf>
    <xf numFmtId="20" fontId="4" fillId="5" borderId="329" xfId="0" applyNumberFormat="1" applyFont="1" applyFill="1" applyBorder="1" applyAlignment="1">
      <alignment horizontal="center" vertical="center"/>
    </xf>
    <xf numFmtId="0" fontId="4" fillId="5" borderId="350" xfId="0" applyFont="1" applyFill="1" applyBorder="1" applyAlignment="1">
      <alignment horizontal="center" vertical="center"/>
    </xf>
    <xf numFmtId="20" fontId="1" fillId="5" borderId="336" xfId="0" applyNumberFormat="1" applyFont="1" applyFill="1" applyBorder="1" applyAlignment="1">
      <alignment horizontal="center" vertical="center"/>
    </xf>
    <xf numFmtId="0" fontId="1" fillId="5" borderId="337" xfId="0" applyFont="1" applyFill="1" applyBorder="1">
      <alignment vertical="center"/>
    </xf>
    <xf numFmtId="0" fontId="1" fillId="5" borderId="337" xfId="0" applyFont="1" applyFill="1" applyBorder="1" applyAlignment="1">
      <alignment horizontal="center" vertical="center"/>
    </xf>
    <xf numFmtId="0" fontId="1" fillId="5" borderId="338" xfId="0" applyFont="1" applyFill="1" applyBorder="1" applyAlignment="1">
      <alignment horizontal="center" vertical="center"/>
    </xf>
    <xf numFmtId="20" fontId="1" fillId="0" borderId="323" xfId="0" applyNumberFormat="1" applyFont="1" applyBorder="1" applyAlignment="1">
      <alignment horizontal="center" vertical="center"/>
    </xf>
    <xf numFmtId="0" fontId="1" fillId="5" borderId="350" xfId="0" applyFont="1" applyFill="1" applyBorder="1" applyAlignment="1">
      <alignment horizontal="center" vertical="center"/>
    </xf>
    <xf numFmtId="0" fontId="1" fillId="16" borderId="9" xfId="0" applyFont="1" applyFill="1" applyBorder="1" applyAlignment="1">
      <alignment horizontal="center" vertical="center"/>
    </xf>
    <xf numFmtId="0" fontId="1" fillId="16" borderId="14" xfId="0" applyFont="1" applyFill="1" applyBorder="1" applyAlignment="1">
      <alignment horizontal="center" vertical="center"/>
    </xf>
    <xf numFmtId="0" fontId="16" fillId="5" borderId="62" xfId="0" applyFont="1" applyFill="1" applyBorder="1">
      <alignment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20" fontId="1" fillId="13" borderId="17" xfId="0" applyNumberFormat="1" applyFont="1" applyFill="1" applyBorder="1" applyAlignment="1">
      <alignment horizontal="center" vertical="center"/>
    </xf>
    <xf numFmtId="0" fontId="17" fillId="13" borderId="16" xfId="0" applyFont="1" applyFill="1" applyBorder="1">
      <alignment vertical="center"/>
    </xf>
    <xf numFmtId="0" fontId="16" fillId="13" borderId="16" xfId="0" applyFont="1" applyFill="1" applyBorder="1">
      <alignment vertical="center"/>
    </xf>
    <xf numFmtId="20" fontId="1" fillId="6" borderId="17" xfId="0" applyNumberFormat="1" applyFont="1" applyFill="1" applyBorder="1" applyAlignment="1">
      <alignment horizontal="center" vertical="center"/>
    </xf>
    <xf numFmtId="0" fontId="26" fillId="6" borderId="16" xfId="0" applyFont="1" applyFill="1" applyBorder="1">
      <alignment vertical="center"/>
    </xf>
    <xf numFmtId="20" fontId="1" fillId="14" borderId="17" xfId="0" applyNumberFormat="1" applyFont="1" applyFill="1" applyBorder="1" applyAlignment="1">
      <alignment horizontal="center" vertical="center"/>
    </xf>
    <xf numFmtId="20" fontId="1" fillId="14" borderId="336" xfId="0" applyNumberFormat="1" applyFont="1" applyFill="1" applyBorder="1" applyAlignment="1">
      <alignment horizontal="center" vertical="center"/>
    </xf>
    <xf numFmtId="0" fontId="1" fillId="14" borderId="337" xfId="0" applyFont="1" applyFill="1" applyBorder="1">
      <alignment vertical="center"/>
    </xf>
    <xf numFmtId="0" fontId="1" fillId="14" borderId="337" xfId="0" applyFont="1" applyFill="1" applyBorder="1" applyAlignment="1">
      <alignment horizontal="center" vertical="center"/>
    </xf>
    <xf numFmtId="20" fontId="1" fillId="14" borderId="15" xfId="0" applyNumberFormat="1" applyFont="1" applyFill="1" applyBorder="1" applyAlignment="1">
      <alignment horizontal="center" vertical="center"/>
    </xf>
    <xf numFmtId="20" fontId="1" fillId="14" borderId="93" xfId="0" applyNumberFormat="1" applyFont="1" applyFill="1" applyBorder="1" applyAlignment="1">
      <alignment horizontal="center" vertical="center"/>
    </xf>
    <xf numFmtId="0" fontId="1" fillId="14" borderId="11" xfId="0" applyFont="1" applyFill="1" applyBorder="1">
      <alignment vertical="center"/>
    </xf>
    <xf numFmtId="0" fontId="1" fillId="14" borderId="11" xfId="0" applyFont="1" applyFill="1" applyBorder="1" applyAlignment="1">
      <alignment horizontal="center" vertical="center"/>
    </xf>
    <xf numFmtId="0" fontId="1" fillId="14" borderId="13" xfId="0" applyFont="1" applyFill="1" applyBorder="1" applyAlignment="1">
      <alignment horizontal="center" vertical="center"/>
    </xf>
    <xf numFmtId="0" fontId="1" fillId="14" borderId="338" xfId="0" applyFont="1" applyFill="1" applyBorder="1" applyAlignment="1">
      <alignment horizontal="center" vertical="center"/>
    </xf>
    <xf numFmtId="0" fontId="5" fillId="27" borderId="346" xfId="0" applyFont="1" applyFill="1" applyBorder="1" applyAlignment="1">
      <alignment horizontal="left" vertical="center"/>
    </xf>
    <xf numFmtId="20" fontId="1" fillId="6" borderId="94" xfId="0" applyNumberFormat="1" applyFont="1" applyFill="1" applyBorder="1" applyAlignment="1">
      <alignment horizontal="center" vertical="center"/>
    </xf>
    <xf numFmtId="0" fontId="1" fillId="6" borderId="16" xfId="0" applyFont="1" applyFill="1" applyBorder="1">
      <alignment vertical="center"/>
    </xf>
    <xf numFmtId="20" fontId="21" fillId="19" borderId="40" xfId="0" applyNumberFormat="1" applyFont="1" applyFill="1" applyBorder="1" applyAlignment="1">
      <alignment horizontal="center" vertical="center"/>
    </xf>
    <xf numFmtId="0" fontId="21" fillId="19" borderId="39" xfId="0" applyFont="1" applyFill="1" applyBorder="1" applyAlignment="1">
      <alignment horizontal="center" vertical="center"/>
    </xf>
    <xf numFmtId="0" fontId="21" fillId="19" borderId="42" xfId="0" applyFont="1" applyFill="1" applyBorder="1" applyAlignment="1">
      <alignment horizontal="center" vertical="center"/>
    </xf>
    <xf numFmtId="20" fontId="1" fillId="6" borderId="321" xfId="0" applyNumberFormat="1" applyFont="1" applyFill="1" applyBorder="1" applyAlignment="1">
      <alignment horizontal="center" vertical="center"/>
    </xf>
    <xf numFmtId="0" fontId="1" fillId="6" borderId="322" xfId="0" applyFont="1" applyFill="1" applyBorder="1" applyAlignment="1">
      <alignment horizontal="center" vertical="center"/>
    </xf>
    <xf numFmtId="20" fontId="1" fillId="16" borderId="323" xfId="0" applyNumberFormat="1" applyFont="1" applyFill="1" applyBorder="1" applyAlignment="1">
      <alignment horizontal="center" vertical="center"/>
    </xf>
    <xf numFmtId="0" fontId="1" fillId="16" borderId="324" xfId="0" applyFont="1" applyFill="1" applyBorder="1" applyAlignment="1">
      <alignment horizontal="center" vertical="center"/>
    </xf>
    <xf numFmtId="0" fontId="1" fillId="16" borderId="325" xfId="0" applyFont="1" applyFill="1" applyBorder="1" applyAlignment="1">
      <alignment horizontal="center" vertical="center"/>
    </xf>
    <xf numFmtId="0" fontId="1" fillId="16" borderId="326" xfId="0" applyFont="1" applyFill="1" applyBorder="1" applyAlignment="1">
      <alignment horizontal="center" vertical="center"/>
    </xf>
    <xf numFmtId="20" fontId="1" fillId="14" borderId="57" xfId="0" applyNumberFormat="1" applyFont="1" applyFill="1" applyBorder="1" applyAlignment="1">
      <alignment horizontal="center" vertical="center"/>
    </xf>
    <xf numFmtId="0" fontId="1" fillId="14" borderId="55" xfId="0" applyFont="1" applyFill="1" applyBorder="1">
      <alignment vertical="center"/>
    </xf>
    <xf numFmtId="0" fontId="1" fillId="14" borderId="55" xfId="0" applyFont="1" applyFill="1" applyBorder="1" applyAlignment="1">
      <alignment horizontal="center" vertical="center"/>
    </xf>
    <xf numFmtId="0" fontId="1" fillId="14" borderId="58" xfId="0" applyFont="1" applyFill="1" applyBorder="1" applyAlignment="1">
      <alignment horizontal="center" vertical="center"/>
    </xf>
    <xf numFmtId="0" fontId="1" fillId="28" borderId="39" xfId="0" applyFont="1" applyFill="1" applyBorder="1">
      <alignment vertical="center"/>
    </xf>
    <xf numFmtId="0" fontId="16" fillId="14" borderId="16" xfId="0" applyFont="1" applyFill="1" applyBorder="1">
      <alignment vertical="center"/>
    </xf>
    <xf numFmtId="0" fontId="1" fillId="14" borderId="16" xfId="0" applyFont="1" applyFill="1" applyBorder="1" applyAlignment="1">
      <alignment horizontal="center" vertical="center"/>
    </xf>
    <xf numFmtId="0" fontId="1" fillId="14" borderId="18" xfId="0" applyFont="1" applyFill="1" applyBorder="1" applyAlignment="1">
      <alignment horizontal="center" vertical="center"/>
    </xf>
    <xf numFmtId="20" fontId="1" fillId="16" borderId="12" xfId="0" applyNumberFormat="1" applyFont="1" applyFill="1" applyBorder="1" applyAlignment="1">
      <alignment horizontal="center" vertical="center"/>
    </xf>
    <xf numFmtId="0" fontId="1" fillId="16" borderId="13" xfId="0" applyFont="1" applyFill="1" applyBorder="1" applyAlignment="1">
      <alignment horizontal="center" vertical="center"/>
    </xf>
    <xf numFmtId="20" fontId="1" fillId="16" borderId="17" xfId="0" applyNumberFormat="1" applyFont="1" applyFill="1" applyBorder="1" applyAlignment="1">
      <alignment horizontal="center" vertical="center"/>
    </xf>
    <xf numFmtId="0" fontId="1" fillId="16" borderId="18" xfId="0" applyFont="1" applyFill="1" applyBorder="1" applyAlignment="1">
      <alignment horizontal="center" vertical="center"/>
    </xf>
    <xf numFmtId="20" fontId="1" fillId="0" borderId="325" xfId="0" applyNumberFormat="1" applyFont="1" applyBorder="1" applyAlignment="1">
      <alignment horizontal="center" vertical="center"/>
    </xf>
    <xf numFmtId="20" fontId="11" fillId="0" borderId="321" xfId="0" applyNumberFormat="1" applyFont="1" applyBorder="1" applyAlignment="1">
      <alignment horizontal="center" vertical="center"/>
    </xf>
    <xf numFmtId="0" fontId="11" fillId="0" borderId="39" xfId="0" applyFont="1" applyBorder="1">
      <alignment vertical="center"/>
    </xf>
    <xf numFmtId="0" fontId="11" fillId="0" borderId="39" xfId="0" applyFont="1" applyBorder="1" applyAlignment="1">
      <alignment horizontal="center" vertical="center"/>
    </xf>
    <xf numFmtId="0" fontId="11" fillId="0" borderId="322" xfId="0" applyFont="1" applyBorder="1" applyAlignment="1">
      <alignment horizontal="center" vertical="center"/>
    </xf>
    <xf numFmtId="20" fontId="1" fillId="29" borderId="12" xfId="0" applyNumberFormat="1" applyFont="1" applyFill="1" applyBorder="1" applyAlignment="1">
      <alignment horizontal="center" vertical="center"/>
    </xf>
    <xf numFmtId="0" fontId="1" fillId="29" borderId="11" xfId="0" applyFont="1" applyFill="1" applyBorder="1">
      <alignment vertical="center"/>
    </xf>
    <xf numFmtId="0" fontId="16" fillId="0" borderId="0" xfId="0" applyFont="1">
      <alignment vertical="center"/>
    </xf>
    <xf numFmtId="0" fontId="16" fillId="6" borderId="0" xfId="0" applyFont="1" applyFill="1">
      <alignment vertical="center"/>
    </xf>
    <xf numFmtId="0" fontId="16" fillId="7" borderId="0" xfId="0" applyFont="1" applyFill="1">
      <alignment vertical="center"/>
    </xf>
    <xf numFmtId="41" fontId="16" fillId="0" borderId="0" xfId="1" applyFont="1" applyAlignment="1">
      <alignment horizontal="center" vertical="center"/>
    </xf>
    <xf numFmtId="0" fontId="16" fillId="9" borderId="0" xfId="0" applyFont="1" applyFill="1">
      <alignment vertical="center"/>
    </xf>
    <xf numFmtId="0" fontId="16" fillId="30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48" fillId="0" borderId="0" xfId="0" applyFont="1">
      <alignment vertical="center"/>
    </xf>
    <xf numFmtId="0" fontId="1" fillId="5" borderId="30" xfId="0" applyFont="1" applyFill="1" applyBorder="1" applyAlignment="1">
      <alignment horizontal="center" vertical="center"/>
    </xf>
    <xf numFmtId="20" fontId="1" fillId="5" borderId="33" xfId="0" applyNumberFormat="1" applyFont="1" applyFill="1" applyBorder="1" applyAlignment="1">
      <alignment horizontal="center" vertical="center"/>
    </xf>
    <xf numFmtId="20" fontId="1" fillId="30" borderId="40" xfId="0" applyNumberFormat="1" applyFont="1" applyFill="1" applyBorder="1" applyAlignment="1">
      <alignment horizontal="center" vertical="center"/>
    </xf>
    <xf numFmtId="0" fontId="1" fillId="30" borderId="39" xfId="0" applyFont="1" applyFill="1" applyBorder="1">
      <alignment vertical="center"/>
    </xf>
    <xf numFmtId="0" fontId="1" fillId="30" borderId="39" xfId="0" applyFont="1" applyFill="1" applyBorder="1" applyAlignment="1">
      <alignment horizontal="center" vertical="center"/>
    </xf>
    <xf numFmtId="0" fontId="1" fillId="30" borderId="41" xfId="0" applyFont="1" applyFill="1" applyBorder="1" applyAlignment="1">
      <alignment horizontal="center" vertical="center"/>
    </xf>
    <xf numFmtId="20" fontId="23" fillId="11" borderId="12" xfId="0" applyNumberFormat="1" applyFont="1" applyFill="1" applyBorder="1" applyAlignment="1">
      <alignment horizontal="center" vertical="center"/>
    </xf>
    <xf numFmtId="0" fontId="23" fillId="11" borderId="11" xfId="0" applyFont="1" applyFill="1" applyBorder="1">
      <alignment vertical="center"/>
    </xf>
    <xf numFmtId="0" fontId="23" fillId="11" borderId="11" xfId="0" applyFont="1" applyFill="1" applyBorder="1" applyAlignment="1">
      <alignment horizontal="center" vertical="center"/>
    </xf>
    <xf numFmtId="0" fontId="23" fillId="11" borderId="13" xfId="0" applyFont="1" applyFill="1" applyBorder="1" applyAlignment="1">
      <alignment horizontal="center" vertical="center"/>
    </xf>
    <xf numFmtId="0" fontId="23" fillId="11" borderId="41" xfId="0" applyFont="1" applyFill="1" applyBorder="1" applyAlignment="1">
      <alignment horizontal="center" vertical="center"/>
    </xf>
    <xf numFmtId="20" fontId="23" fillId="11" borderId="15" xfId="0" applyNumberFormat="1" applyFont="1" applyFill="1" applyBorder="1" applyAlignment="1">
      <alignment horizontal="center" vertical="center"/>
    </xf>
    <xf numFmtId="0" fontId="23" fillId="11" borderId="16" xfId="0" applyFont="1" applyFill="1" applyBorder="1">
      <alignment vertical="center"/>
    </xf>
    <xf numFmtId="0" fontId="23" fillId="11" borderId="16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20" fontId="21" fillId="32" borderId="10" xfId="0" applyNumberFormat="1" applyFont="1" applyFill="1" applyBorder="1" applyAlignment="1">
      <alignment horizontal="center" vertical="center"/>
    </xf>
    <xf numFmtId="0" fontId="21" fillId="32" borderId="11" xfId="0" applyFont="1" applyFill="1" applyBorder="1">
      <alignment vertical="center"/>
    </xf>
    <xf numFmtId="20" fontId="21" fillId="32" borderId="57" xfId="0" applyNumberFormat="1" applyFont="1" applyFill="1" applyBorder="1" applyAlignment="1">
      <alignment horizontal="center" vertical="center"/>
    </xf>
    <xf numFmtId="0" fontId="21" fillId="32" borderId="55" xfId="0" applyFont="1" applyFill="1" applyBorder="1">
      <alignment vertical="center"/>
    </xf>
    <xf numFmtId="0" fontId="21" fillId="32" borderId="55" xfId="0" applyFont="1" applyFill="1" applyBorder="1" applyAlignment="1">
      <alignment horizontal="center" vertical="center"/>
    </xf>
    <xf numFmtId="0" fontId="21" fillId="32" borderId="58" xfId="0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20" fontId="1" fillId="33" borderId="38" xfId="0" applyNumberFormat="1" applyFont="1" applyFill="1" applyBorder="1" applyAlignment="1">
      <alignment horizontal="center" vertical="center"/>
    </xf>
    <xf numFmtId="0" fontId="1" fillId="33" borderId="39" xfId="0" applyFont="1" applyFill="1" applyBorder="1">
      <alignment vertical="center"/>
    </xf>
    <xf numFmtId="0" fontId="1" fillId="33" borderId="39" xfId="0" applyFont="1" applyFill="1" applyBorder="1" applyAlignment="1">
      <alignment horizontal="center" vertical="center"/>
    </xf>
    <xf numFmtId="0" fontId="1" fillId="33" borderId="31" xfId="0" applyFont="1" applyFill="1" applyBorder="1" applyAlignment="1">
      <alignment horizontal="center" vertical="center"/>
    </xf>
    <xf numFmtId="20" fontId="1" fillId="34" borderId="57" xfId="0" applyNumberFormat="1" applyFont="1" applyFill="1" applyBorder="1" applyAlignment="1">
      <alignment horizontal="center" vertical="center"/>
    </xf>
    <xf numFmtId="0" fontId="1" fillId="34" borderId="55" xfId="0" applyFont="1" applyFill="1" applyBorder="1">
      <alignment vertical="center"/>
    </xf>
    <xf numFmtId="0" fontId="1" fillId="34" borderId="55" xfId="0" applyFont="1" applyFill="1" applyBorder="1" applyAlignment="1">
      <alignment horizontal="center" vertical="center"/>
    </xf>
    <xf numFmtId="0" fontId="1" fillId="34" borderId="58" xfId="0" applyFont="1" applyFill="1" applyBorder="1" applyAlignment="1">
      <alignment horizontal="center" vertical="center"/>
    </xf>
    <xf numFmtId="20" fontId="1" fillId="19" borderId="15" xfId="0" applyNumberFormat="1" applyFont="1" applyFill="1" applyBorder="1" applyAlignment="1">
      <alignment horizontal="center" vertical="center"/>
    </xf>
    <xf numFmtId="0" fontId="1" fillId="19" borderId="16" xfId="0" applyFont="1" applyFill="1" applyBorder="1" applyAlignment="1">
      <alignment horizontal="center" vertical="center"/>
    </xf>
    <xf numFmtId="0" fontId="1" fillId="19" borderId="14" xfId="0" applyFont="1" applyFill="1" applyBorder="1" applyAlignment="1">
      <alignment horizontal="center" vertical="center"/>
    </xf>
    <xf numFmtId="0" fontId="53" fillId="19" borderId="16" xfId="0" applyFont="1" applyFill="1" applyBorder="1">
      <alignment vertical="center"/>
    </xf>
    <xf numFmtId="0" fontId="1" fillId="19" borderId="27" xfId="0" applyFont="1" applyFill="1" applyBorder="1" applyAlignment="1">
      <alignment horizontal="center" vertical="center"/>
    </xf>
    <xf numFmtId="0" fontId="21" fillId="11" borderId="11" xfId="0" applyFont="1" applyFill="1" applyBorder="1">
      <alignment vertical="center"/>
    </xf>
    <xf numFmtId="0" fontId="21" fillId="11" borderId="11" xfId="0" applyFont="1" applyFill="1" applyBorder="1" applyAlignment="1">
      <alignment horizontal="center" vertical="center"/>
    </xf>
    <xf numFmtId="0" fontId="21" fillId="11" borderId="26" xfId="0" applyFont="1" applyFill="1" applyBorder="1" applyAlignment="1">
      <alignment horizontal="center" vertical="center"/>
    </xf>
    <xf numFmtId="20" fontId="21" fillId="11" borderId="12" xfId="0" applyNumberFormat="1" applyFont="1" applyFill="1" applyBorder="1" applyAlignment="1">
      <alignment horizontal="center" vertical="center"/>
    </xf>
    <xf numFmtId="20" fontId="1" fillId="19" borderId="63" xfId="0" applyNumberFormat="1" applyFont="1" applyFill="1" applyBorder="1" applyAlignment="1">
      <alignment horizontal="center" vertical="center"/>
    </xf>
    <xf numFmtId="0" fontId="1" fillId="19" borderId="62" xfId="0" applyFont="1" applyFill="1" applyBorder="1" applyAlignment="1">
      <alignment horizontal="center" vertical="center"/>
    </xf>
    <xf numFmtId="0" fontId="1" fillId="19" borderId="65" xfId="0" applyFont="1" applyFill="1" applyBorder="1" applyAlignment="1">
      <alignment horizontal="center" vertical="center"/>
    </xf>
    <xf numFmtId="0" fontId="53" fillId="19" borderId="62" xfId="0" applyFont="1" applyFill="1" applyBorder="1">
      <alignment vertical="center"/>
    </xf>
    <xf numFmtId="20" fontId="1" fillId="24" borderId="17" xfId="0" applyNumberFormat="1" applyFont="1" applyFill="1" applyBorder="1" applyAlignment="1">
      <alignment horizontal="center" vertical="center"/>
    </xf>
    <xf numFmtId="20" fontId="1" fillId="24" borderId="10" xfId="0" applyNumberFormat="1" applyFont="1" applyFill="1" applyBorder="1" applyAlignment="1">
      <alignment horizontal="center" vertical="center"/>
    </xf>
    <xf numFmtId="20" fontId="1" fillId="19" borderId="169" xfId="0" applyNumberFormat="1" applyFont="1" applyFill="1" applyBorder="1" applyAlignment="1">
      <alignment horizontal="center" vertical="center"/>
    </xf>
    <xf numFmtId="0" fontId="30" fillId="19" borderId="170" xfId="0" applyFont="1" applyFill="1" applyBorder="1">
      <alignment vertical="center"/>
    </xf>
    <xf numFmtId="0" fontId="1" fillId="19" borderId="170" xfId="0" applyFont="1" applyFill="1" applyBorder="1" applyAlignment="1">
      <alignment horizontal="center" vertical="center"/>
    </xf>
    <xf numFmtId="0" fontId="1" fillId="19" borderId="171" xfId="0" applyFont="1" applyFill="1" applyBorder="1" applyAlignment="1">
      <alignment horizontal="center" vertical="center"/>
    </xf>
    <xf numFmtId="20" fontId="1" fillId="19" borderId="49" xfId="0" applyNumberFormat="1" applyFont="1" applyFill="1" applyBorder="1" applyAlignment="1">
      <alignment horizontal="center" vertical="center"/>
    </xf>
    <xf numFmtId="0" fontId="30" fillId="19" borderId="55" xfId="0" applyFont="1" applyFill="1" applyBorder="1">
      <alignment vertical="center"/>
    </xf>
    <xf numFmtId="0" fontId="1" fillId="19" borderId="55" xfId="0" applyFont="1" applyFill="1" applyBorder="1" applyAlignment="1">
      <alignment horizontal="center" vertical="center"/>
    </xf>
    <xf numFmtId="0" fontId="1" fillId="19" borderId="56" xfId="0" applyFont="1" applyFill="1" applyBorder="1" applyAlignment="1">
      <alignment horizontal="center" vertical="center"/>
    </xf>
    <xf numFmtId="20" fontId="18" fillId="11" borderId="17" xfId="0" applyNumberFormat="1" applyFont="1" applyFill="1" applyBorder="1" applyAlignment="1">
      <alignment horizontal="center" vertical="center"/>
    </xf>
    <xf numFmtId="0" fontId="18" fillId="11" borderId="16" xfId="0" applyFont="1" applyFill="1" applyBorder="1">
      <alignment vertical="center"/>
    </xf>
    <xf numFmtId="0" fontId="18" fillId="11" borderId="16" xfId="0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5" borderId="60" xfId="0" applyFont="1" applyFill="1" applyBorder="1" applyAlignment="1">
      <alignment horizontal="center" vertical="center"/>
    </xf>
    <xf numFmtId="0" fontId="1" fillId="5" borderId="5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left" vertical="center"/>
    </xf>
    <xf numFmtId="0" fontId="1" fillId="7" borderId="29" xfId="0" applyFont="1" applyFill="1" applyBorder="1" applyAlignment="1">
      <alignment horizontal="left" vertical="center"/>
    </xf>
    <xf numFmtId="0" fontId="1" fillId="7" borderId="19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 wrapText="1"/>
    </xf>
    <xf numFmtId="0" fontId="5" fillId="6" borderId="29" xfId="0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center" vertical="center"/>
    </xf>
    <xf numFmtId="0" fontId="6" fillId="9" borderId="66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top"/>
    </xf>
    <xf numFmtId="0" fontId="1" fillId="6" borderId="29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horizontal="left" vertical="top" wrapText="1"/>
    </xf>
    <xf numFmtId="0" fontId="1" fillId="6" borderId="19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5" borderId="90" xfId="0" applyFont="1" applyFill="1" applyBorder="1" applyAlignment="1">
      <alignment horizontal="center" vertical="center"/>
    </xf>
    <xf numFmtId="0" fontId="1" fillId="5" borderId="91" xfId="0" applyFont="1" applyFill="1" applyBorder="1" applyAlignment="1">
      <alignment horizontal="center" vertical="center"/>
    </xf>
    <xf numFmtId="0" fontId="1" fillId="6" borderId="80" xfId="0" applyFont="1" applyFill="1" applyBorder="1" applyAlignment="1">
      <alignment horizontal="left" vertical="top"/>
    </xf>
    <xf numFmtId="0" fontId="1" fillId="6" borderId="81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80" xfId="0" applyFont="1" applyBorder="1" applyAlignment="1">
      <alignment horizontal="left" vertical="top" wrapText="1"/>
    </xf>
    <xf numFmtId="0" fontId="1" fillId="0" borderId="81" xfId="0" applyFont="1" applyBorder="1" applyAlignment="1">
      <alignment horizontal="left" vertical="top"/>
    </xf>
    <xf numFmtId="0" fontId="1" fillId="10" borderId="2" xfId="0" applyFont="1" applyFill="1" applyBorder="1" applyAlignment="1">
      <alignment horizontal="left" vertical="top" wrapText="1"/>
    </xf>
    <xf numFmtId="0" fontId="1" fillId="10" borderId="29" xfId="0" applyFont="1" applyFill="1" applyBorder="1" applyAlignment="1">
      <alignment horizontal="left" vertical="top"/>
    </xf>
    <xf numFmtId="0" fontId="1" fillId="10" borderId="19" xfId="0" applyFont="1" applyFill="1" applyBorder="1" applyAlignment="1">
      <alignment horizontal="left" vertical="top"/>
    </xf>
    <xf numFmtId="0" fontId="1" fillId="10" borderId="2" xfId="0" applyFont="1" applyFill="1" applyBorder="1" applyAlignment="1">
      <alignment horizontal="left" vertical="top"/>
    </xf>
    <xf numFmtId="0" fontId="1" fillId="11" borderId="2" xfId="0" applyFont="1" applyFill="1" applyBorder="1" applyAlignment="1">
      <alignment horizontal="left" vertical="top"/>
    </xf>
    <xf numFmtId="0" fontId="1" fillId="11" borderId="29" xfId="0" applyFont="1" applyFill="1" applyBorder="1" applyAlignment="1">
      <alignment horizontal="left" vertical="top"/>
    </xf>
    <xf numFmtId="0" fontId="1" fillId="11" borderId="19" xfId="0" applyFont="1" applyFill="1" applyBorder="1" applyAlignment="1">
      <alignment horizontal="left" vertical="top"/>
    </xf>
    <xf numFmtId="0" fontId="1" fillId="12" borderId="2" xfId="0" applyFont="1" applyFill="1" applyBorder="1" applyAlignment="1">
      <alignment horizontal="left" vertical="top"/>
    </xf>
    <xf numFmtId="0" fontId="1" fillId="12" borderId="29" xfId="0" applyFont="1" applyFill="1" applyBorder="1" applyAlignment="1">
      <alignment horizontal="left" vertical="top"/>
    </xf>
    <xf numFmtId="0" fontId="1" fillId="12" borderId="19" xfId="0" applyFont="1" applyFill="1" applyBorder="1" applyAlignment="1">
      <alignment horizontal="left" vertical="top"/>
    </xf>
    <xf numFmtId="0" fontId="1" fillId="12" borderId="2" xfId="0" applyFont="1" applyFill="1" applyBorder="1" applyAlignment="1">
      <alignment horizontal="left" vertical="top" wrapText="1"/>
    </xf>
    <xf numFmtId="0" fontId="1" fillId="5" borderId="115" xfId="0" applyFont="1" applyFill="1" applyBorder="1" applyAlignment="1">
      <alignment horizontal="center" vertical="center"/>
    </xf>
    <xf numFmtId="0" fontId="1" fillId="5" borderId="89" xfId="0" applyFont="1" applyFill="1" applyBorder="1" applyAlignment="1">
      <alignment horizontal="center" vertical="center"/>
    </xf>
    <xf numFmtId="0" fontId="1" fillId="0" borderId="80" xfId="0" applyFont="1" applyBorder="1" applyAlignment="1">
      <alignment horizontal="left" vertical="top"/>
    </xf>
    <xf numFmtId="0" fontId="1" fillId="13" borderId="80" xfId="0" applyFont="1" applyFill="1" applyBorder="1" applyAlignment="1">
      <alignment horizontal="left" vertical="top" wrapText="1"/>
    </xf>
    <xf numFmtId="0" fontId="1" fillId="13" borderId="29" xfId="0" applyFont="1" applyFill="1" applyBorder="1" applyAlignment="1">
      <alignment horizontal="left" vertical="top"/>
    </xf>
    <xf numFmtId="0" fontId="1" fillId="13" borderId="81" xfId="0" applyFont="1" applyFill="1" applyBorder="1" applyAlignment="1">
      <alignment horizontal="left" vertical="top"/>
    </xf>
    <xf numFmtId="0" fontId="1" fillId="0" borderId="29" xfId="0" applyFont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4" fillId="6" borderId="29" xfId="0" applyFont="1" applyFill="1" applyBorder="1" applyAlignment="1">
      <alignment horizontal="left" vertical="top"/>
    </xf>
    <xf numFmtId="0" fontId="4" fillId="6" borderId="19" xfId="0" applyFont="1" applyFill="1" applyBorder="1" applyAlignment="1">
      <alignment horizontal="left" vertical="top"/>
    </xf>
    <xf numFmtId="0" fontId="1" fillId="0" borderId="188" xfId="0" applyFont="1" applyBorder="1" applyAlignment="1">
      <alignment horizontal="left" vertical="top"/>
    </xf>
    <xf numFmtId="0" fontId="1" fillId="0" borderId="189" xfId="0" applyFont="1" applyBorder="1" applyAlignment="1">
      <alignment horizontal="left" vertical="top"/>
    </xf>
    <xf numFmtId="0" fontId="1" fillId="5" borderId="30" xfId="0" applyFont="1" applyFill="1" applyBorder="1" applyAlignment="1">
      <alignment horizontal="center" vertical="center"/>
    </xf>
    <xf numFmtId="0" fontId="1" fillId="0" borderId="50" xfId="0" applyFont="1" applyBorder="1" applyAlignment="1">
      <alignment horizontal="left" vertical="top"/>
    </xf>
    <xf numFmtId="0" fontId="1" fillId="0" borderId="115" xfId="0" applyFont="1" applyBorder="1" applyAlignment="1">
      <alignment horizontal="left" vertical="top"/>
    </xf>
    <xf numFmtId="0" fontId="1" fillId="0" borderId="159" xfId="0" applyFont="1" applyBorder="1" applyAlignment="1">
      <alignment horizontal="left" vertical="top" wrapText="1"/>
    </xf>
    <xf numFmtId="0" fontId="1" fillId="0" borderId="160" xfId="0" applyFont="1" applyBorder="1" applyAlignment="1">
      <alignment horizontal="left" vertical="top"/>
    </xf>
    <xf numFmtId="0" fontId="1" fillId="0" borderId="159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144" xfId="0" applyFont="1" applyBorder="1" applyAlignment="1">
      <alignment horizontal="left" vertical="center"/>
    </xf>
    <xf numFmtId="0" fontId="1" fillId="0" borderId="145" xfId="0" applyFont="1" applyBorder="1" applyAlignment="1">
      <alignment horizontal="left" vertical="center"/>
    </xf>
    <xf numFmtId="0" fontId="1" fillId="0" borderId="146" xfId="0" applyFont="1" applyBorder="1" applyAlignment="1">
      <alignment horizontal="left" vertical="center"/>
    </xf>
    <xf numFmtId="0" fontId="1" fillId="2" borderId="207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21" fillId="22" borderId="217" xfId="0" applyFont="1" applyFill="1" applyBorder="1" applyAlignment="1">
      <alignment horizontal="left" vertical="top"/>
    </xf>
    <xf numFmtId="0" fontId="21" fillId="22" borderId="29" xfId="0" applyFont="1" applyFill="1" applyBorder="1" applyAlignment="1">
      <alignment horizontal="left" vertical="top"/>
    </xf>
    <xf numFmtId="0" fontId="21" fillId="22" borderId="218" xfId="0" applyFont="1" applyFill="1" applyBorder="1" applyAlignment="1">
      <alignment horizontal="left" vertical="top"/>
    </xf>
    <xf numFmtId="0" fontId="18" fillId="22" borderId="2" xfId="0" applyFont="1" applyFill="1" applyBorder="1" applyAlignment="1">
      <alignment horizontal="left" vertical="top"/>
    </xf>
    <xf numFmtId="0" fontId="18" fillId="22" borderId="29" xfId="0" applyFont="1" applyFill="1" applyBorder="1" applyAlignment="1">
      <alignment horizontal="left" vertical="top"/>
    </xf>
    <xf numFmtId="0" fontId="18" fillId="22" borderId="19" xfId="0" applyFont="1" applyFill="1" applyBorder="1" applyAlignment="1">
      <alignment horizontal="left" vertical="top"/>
    </xf>
    <xf numFmtId="0" fontId="18" fillId="0" borderId="2" xfId="0" applyFont="1" applyBorder="1" applyAlignment="1">
      <alignment horizontal="left" vertical="top"/>
    </xf>
    <xf numFmtId="0" fontId="18" fillId="0" borderId="29" xfId="0" applyFont="1" applyBorder="1" applyAlignment="1">
      <alignment horizontal="left" vertical="top"/>
    </xf>
    <xf numFmtId="0" fontId="18" fillId="0" borderId="19" xfId="0" applyFont="1" applyBorder="1" applyAlignment="1">
      <alignment horizontal="left" vertical="top"/>
    </xf>
    <xf numFmtId="0" fontId="23" fillId="11" borderId="217" xfId="0" applyFont="1" applyFill="1" applyBorder="1" applyAlignment="1">
      <alignment horizontal="left" vertical="top"/>
    </xf>
    <xf numFmtId="0" fontId="23" fillId="11" borderId="29" xfId="0" applyFont="1" applyFill="1" applyBorder="1" applyAlignment="1">
      <alignment horizontal="left" vertical="top"/>
    </xf>
    <xf numFmtId="0" fontId="23" fillId="11" borderId="218" xfId="0" applyFont="1" applyFill="1" applyBorder="1" applyAlignment="1">
      <alignment horizontal="left" vertical="top"/>
    </xf>
    <xf numFmtId="0" fontId="18" fillId="0" borderId="217" xfId="0" applyFont="1" applyBorder="1" applyAlignment="1">
      <alignment horizontal="left" vertical="top" wrapText="1"/>
    </xf>
    <xf numFmtId="0" fontId="18" fillId="0" borderId="218" xfId="0" applyFont="1" applyBorder="1" applyAlignment="1">
      <alignment horizontal="left" vertical="top"/>
    </xf>
    <xf numFmtId="0" fontId="1" fillId="0" borderId="217" xfId="0" applyFont="1" applyBorder="1" applyAlignment="1">
      <alignment horizontal="left" vertical="top"/>
    </xf>
    <xf numFmtId="0" fontId="1" fillId="0" borderId="218" xfId="0" applyFont="1" applyBorder="1" applyAlignment="1">
      <alignment horizontal="left" vertical="top"/>
    </xf>
    <xf numFmtId="0" fontId="23" fillId="19" borderId="2" xfId="0" applyFont="1" applyFill="1" applyBorder="1" applyAlignment="1">
      <alignment horizontal="left" vertical="top"/>
    </xf>
    <xf numFmtId="0" fontId="23" fillId="19" borderId="29" xfId="0" applyFont="1" applyFill="1" applyBorder="1" applyAlignment="1">
      <alignment horizontal="left" vertical="top"/>
    </xf>
    <xf numFmtId="0" fontId="23" fillId="19" borderId="19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horizontal="center" vertical="top"/>
    </xf>
    <xf numFmtId="0" fontId="1" fillId="6" borderId="29" xfId="0" applyFont="1" applyFill="1" applyBorder="1" applyAlignment="1">
      <alignment horizontal="center" vertical="top"/>
    </xf>
    <xf numFmtId="0" fontId="1" fillId="6" borderId="19" xfId="0" applyFont="1" applyFill="1" applyBorder="1" applyAlignment="1">
      <alignment horizontal="center" vertical="top"/>
    </xf>
    <xf numFmtId="0" fontId="4" fillId="6" borderId="50" xfId="0" applyFont="1" applyFill="1" applyBorder="1" applyAlignment="1">
      <alignment horizontal="center" vertical="top" wrapText="1"/>
    </xf>
    <xf numFmtId="0" fontId="4" fillId="6" borderId="115" xfId="0" applyFont="1" applyFill="1" applyBorder="1" applyAlignment="1">
      <alignment horizontal="center" vertical="top"/>
    </xf>
    <xf numFmtId="0" fontId="1" fillId="0" borderId="282" xfId="0" applyFont="1" applyBorder="1" applyAlignment="1">
      <alignment horizontal="left" vertical="top"/>
    </xf>
    <xf numFmtId="0" fontId="16" fillId="0" borderId="283" xfId="0" applyFont="1" applyBorder="1" applyAlignment="1">
      <alignment horizontal="left" vertical="top"/>
    </xf>
    <xf numFmtId="0" fontId="16" fillId="0" borderId="115" xfId="0" applyFont="1" applyBorder="1" applyAlignment="1">
      <alignment horizontal="left" vertical="top"/>
    </xf>
    <xf numFmtId="0" fontId="1" fillId="5" borderId="0" xfId="0" applyFont="1" applyFill="1" applyAlignment="1">
      <alignment horizontal="center" vertical="center"/>
    </xf>
    <xf numFmtId="0" fontId="23" fillId="22" borderId="50" xfId="0" applyFont="1" applyFill="1" applyBorder="1" applyAlignment="1">
      <alignment horizontal="left" vertical="top" wrapText="1"/>
    </xf>
    <xf numFmtId="0" fontId="23" fillId="22" borderId="115" xfId="0" applyFont="1" applyFill="1" applyBorder="1" applyAlignment="1">
      <alignment horizontal="left" vertical="top"/>
    </xf>
    <xf numFmtId="0" fontId="23" fillId="22" borderId="1" xfId="0" applyFont="1" applyFill="1" applyBorder="1" applyAlignment="1">
      <alignment horizontal="left" vertical="top"/>
    </xf>
    <xf numFmtId="0" fontId="1" fillId="9" borderId="2" xfId="0" applyFont="1" applyFill="1" applyBorder="1" applyAlignment="1">
      <alignment horizontal="left" vertical="top"/>
    </xf>
    <xf numFmtId="0" fontId="1" fillId="9" borderId="29" xfId="0" applyFont="1" applyFill="1" applyBorder="1" applyAlignment="1">
      <alignment horizontal="left" vertical="top"/>
    </xf>
    <xf numFmtId="0" fontId="1" fillId="9" borderId="19" xfId="0" applyFont="1" applyFill="1" applyBorder="1" applyAlignment="1">
      <alignment horizontal="left" vertical="top"/>
    </xf>
    <xf numFmtId="0" fontId="5" fillId="6" borderId="80" xfId="0" applyFont="1" applyFill="1" applyBorder="1" applyAlignment="1">
      <alignment horizontal="left" vertical="top"/>
    </xf>
    <xf numFmtId="0" fontId="5" fillId="6" borderId="29" xfId="0" applyFont="1" applyFill="1" applyBorder="1" applyAlignment="1">
      <alignment horizontal="left" vertical="top"/>
    </xf>
    <xf numFmtId="0" fontId="5" fillId="6" borderId="81" xfId="0" applyFont="1" applyFill="1" applyBorder="1" applyAlignment="1">
      <alignment horizontal="left" vertical="top"/>
    </xf>
    <xf numFmtId="0" fontId="16" fillId="0" borderId="282" xfId="0" applyFont="1" applyBorder="1" applyAlignment="1">
      <alignment horizontal="left" vertical="top"/>
    </xf>
    <xf numFmtId="0" fontId="16" fillId="0" borderId="29" xfId="0" applyFont="1" applyBorder="1" applyAlignment="1">
      <alignment horizontal="left" vertical="top"/>
    </xf>
    <xf numFmtId="0" fontId="16" fillId="0" borderId="294" xfId="0" applyFont="1" applyBorder="1" applyAlignment="1">
      <alignment horizontal="left" vertical="top"/>
    </xf>
    <xf numFmtId="0" fontId="4" fillId="6" borderId="80" xfId="0" applyFont="1" applyFill="1" applyBorder="1" applyAlignment="1">
      <alignment horizontal="center" vertical="top" wrapText="1"/>
    </xf>
    <xf numFmtId="0" fontId="4" fillId="6" borderId="29" xfId="0" applyFont="1" applyFill="1" applyBorder="1" applyAlignment="1">
      <alignment horizontal="center" vertical="top"/>
    </xf>
    <xf numFmtId="0" fontId="4" fillId="6" borderId="81" xfId="0" applyFont="1" applyFill="1" applyBorder="1" applyAlignment="1">
      <alignment horizontal="center" vertical="top"/>
    </xf>
    <xf numFmtId="0" fontId="4" fillId="6" borderId="2" xfId="0" applyFont="1" applyFill="1" applyBorder="1" applyAlignment="1">
      <alignment horizontal="center" vertical="top" wrapText="1"/>
    </xf>
    <xf numFmtId="0" fontId="16" fillId="0" borderId="80" xfId="0" applyFont="1" applyBorder="1" applyAlignment="1">
      <alignment horizontal="left" vertical="top"/>
    </xf>
    <xf numFmtId="0" fontId="16" fillId="0" borderId="81" xfId="0" applyFont="1" applyBorder="1" applyAlignment="1">
      <alignment horizontal="left" vertical="top"/>
    </xf>
    <xf numFmtId="0" fontId="4" fillId="6" borderId="80" xfId="0" applyFont="1" applyFill="1" applyBorder="1" applyAlignment="1">
      <alignment horizontal="left" vertical="top"/>
    </xf>
    <xf numFmtId="0" fontId="4" fillId="6" borderId="81" xfId="0" applyFont="1" applyFill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89" xfId="0" applyFont="1" applyBorder="1" applyAlignment="1">
      <alignment horizontal="left" vertical="top"/>
    </xf>
    <xf numFmtId="0" fontId="4" fillId="6" borderId="131" xfId="0" applyFont="1" applyFill="1" applyBorder="1" applyAlignment="1">
      <alignment horizontal="center" vertical="center" wrapText="1"/>
    </xf>
    <xf numFmtId="0" fontId="4" fillId="6" borderId="143" xfId="0" applyFont="1" applyFill="1" applyBorder="1" applyAlignment="1">
      <alignment horizontal="center" vertical="center"/>
    </xf>
    <xf numFmtId="0" fontId="4" fillId="6" borderId="88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top"/>
    </xf>
    <xf numFmtId="0" fontId="5" fillId="6" borderId="19" xfId="0" applyFont="1" applyFill="1" applyBorder="1" applyAlignment="1">
      <alignment horizontal="left" vertical="top"/>
    </xf>
    <xf numFmtId="0" fontId="27" fillId="6" borderId="2" xfId="0" applyFont="1" applyFill="1" applyBorder="1" applyAlignment="1">
      <alignment horizontal="left" vertical="top" wrapText="1"/>
    </xf>
    <xf numFmtId="0" fontId="27" fillId="6" borderId="29" xfId="0" applyFont="1" applyFill="1" applyBorder="1" applyAlignment="1">
      <alignment horizontal="left" vertical="top"/>
    </xf>
    <xf numFmtId="0" fontId="26" fillId="7" borderId="2" xfId="0" applyFont="1" applyFill="1" applyBorder="1" applyAlignment="1">
      <alignment horizontal="left" vertical="top" wrapText="1"/>
    </xf>
    <xf numFmtId="0" fontId="26" fillId="7" borderId="29" xfId="0" applyFont="1" applyFill="1" applyBorder="1" applyAlignment="1">
      <alignment horizontal="left" vertical="top"/>
    </xf>
    <xf numFmtId="0" fontId="26" fillId="7" borderId="19" xfId="0" applyFont="1" applyFill="1" applyBorder="1" applyAlignment="1">
      <alignment horizontal="left" vertical="top"/>
    </xf>
    <xf numFmtId="20" fontId="23" fillId="11" borderId="339" xfId="0" applyNumberFormat="1" applyFont="1" applyFill="1" applyBorder="1" applyAlignment="1">
      <alignment horizontal="center" vertical="center"/>
    </xf>
    <xf numFmtId="20" fontId="23" fillId="11" borderId="340" xfId="0" applyNumberFormat="1" applyFont="1" applyFill="1" applyBorder="1" applyAlignment="1">
      <alignment horizontal="center" vertical="center"/>
    </xf>
    <xf numFmtId="20" fontId="23" fillId="11" borderId="341" xfId="0" applyNumberFormat="1" applyFont="1" applyFill="1" applyBorder="1" applyAlignment="1">
      <alignment horizontal="center" vertical="center"/>
    </xf>
    <xf numFmtId="0" fontId="27" fillId="6" borderId="19" xfId="0" applyFont="1" applyFill="1" applyBorder="1" applyAlignment="1">
      <alignment horizontal="left" vertical="top"/>
    </xf>
    <xf numFmtId="0" fontId="26" fillId="0" borderId="2" xfId="0" applyFont="1" applyBorder="1" applyAlignment="1">
      <alignment horizontal="left" vertical="top"/>
    </xf>
    <xf numFmtId="0" fontId="26" fillId="0" borderId="29" xfId="0" applyFont="1" applyBorder="1" applyAlignment="1">
      <alignment horizontal="left" vertical="top"/>
    </xf>
    <xf numFmtId="0" fontId="26" fillId="0" borderId="19" xfId="0" applyFont="1" applyBorder="1" applyAlignment="1">
      <alignment horizontal="left" vertical="top"/>
    </xf>
    <xf numFmtId="0" fontId="32" fillId="6" borderId="2" xfId="0" applyFont="1" applyFill="1" applyBorder="1" applyAlignment="1">
      <alignment horizontal="left" vertical="top"/>
    </xf>
    <xf numFmtId="0" fontId="32" fillId="6" borderId="29" xfId="0" applyFont="1" applyFill="1" applyBorder="1" applyAlignment="1">
      <alignment horizontal="left" vertical="top"/>
    </xf>
    <xf numFmtId="0" fontId="32" fillId="6" borderId="19" xfId="0" applyFont="1" applyFill="1" applyBorder="1" applyAlignment="1">
      <alignment horizontal="left" vertical="top"/>
    </xf>
    <xf numFmtId="0" fontId="26" fillId="6" borderId="2" xfId="0" applyFont="1" applyFill="1" applyBorder="1" applyAlignment="1">
      <alignment horizontal="left" vertical="top"/>
    </xf>
    <xf numFmtId="0" fontId="26" fillId="6" borderId="29" xfId="0" applyFont="1" applyFill="1" applyBorder="1" applyAlignment="1">
      <alignment horizontal="left" vertical="top"/>
    </xf>
    <xf numFmtId="0" fontId="26" fillId="6" borderId="29" xfId="0" applyFont="1" applyFill="1" applyBorder="1" applyAlignment="1">
      <alignment horizontal="left" vertical="top" wrapText="1"/>
    </xf>
    <xf numFmtId="0" fontId="26" fillId="6" borderId="19" xfId="0" applyFont="1" applyFill="1" applyBorder="1" applyAlignment="1">
      <alignment horizontal="left" vertical="top"/>
    </xf>
    <xf numFmtId="0" fontId="26" fillId="6" borderId="2" xfId="0" applyFont="1" applyFill="1" applyBorder="1" applyAlignment="1">
      <alignment horizontal="left" vertical="top" wrapText="1"/>
    </xf>
    <xf numFmtId="0" fontId="27" fillId="0" borderId="327" xfId="0" applyFont="1" applyBorder="1" applyAlignment="1">
      <alignment horizontal="left" vertical="top"/>
    </xf>
    <xf numFmtId="0" fontId="27" fillId="0" borderId="29" xfId="0" applyFont="1" applyBorder="1" applyAlignment="1">
      <alignment horizontal="left" vertical="top"/>
    </xf>
    <xf numFmtId="0" fontId="27" fillId="0" borderId="328" xfId="0" applyFont="1" applyBorder="1" applyAlignment="1">
      <alignment horizontal="left" vertical="top"/>
    </xf>
    <xf numFmtId="0" fontId="26" fillId="16" borderId="29" xfId="0" applyFont="1" applyFill="1" applyBorder="1" applyAlignment="1">
      <alignment horizontal="left" vertical="top"/>
    </xf>
    <xf numFmtId="0" fontId="26" fillId="16" borderId="19" xfId="0" applyFont="1" applyFill="1" applyBorder="1" applyAlignment="1">
      <alignment horizontal="left" vertical="top"/>
    </xf>
    <xf numFmtId="0" fontId="28" fillId="11" borderId="327" xfId="0" applyFont="1" applyFill="1" applyBorder="1" applyAlignment="1">
      <alignment horizontal="left" vertical="top"/>
    </xf>
    <xf numFmtId="0" fontId="28" fillId="11" borderId="29" xfId="0" applyFont="1" applyFill="1" applyBorder="1" applyAlignment="1">
      <alignment horizontal="left" vertical="top"/>
    </xf>
    <xf numFmtId="0" fontId="28" fillId="11" borderId="328" xfId="0" applyFont="1" applyFill="1" applyBorder="1" applyAlignment="1">
      <alignment horizontal="left" vertical="top"/>
    </xf>
    <xf numFmtId="20" fontId="26" fillId="0" borderId="2" xfId="0" applyNumberFormat="1" applyFont="1" applyBorder="1" applyAlignment="1">
      <alignment horizontal="left" vertical="top"/>
    </xf>
    <xf numFmtId="0" fontId="16" fillId="12" borderId="2" xfId="0" applyFont="1" applyFill="1" applyBorder="1" applyAlignment="1">
      <alignment horizontal="left" vertical="top"/>
    </xf>
    <xf numFmtId="0" fontId="16" fillId="12" borderId="29" xfId="0" applyFont="1" applyFill="1" applyBorder="1" applyAlignment="1">
      <alignment horizontal="left" vertical="top"/>
    </xf>
    <xf numFmtId="0" fontId="16" fillId="0" borderId="2" xfId="0" applyFont="1" applyBorder="1" applyAlignment="1">
      <alignment horizontal="left" vertical="top" wrapText="1"/>
    </xf>
    <xf numFmtId="0" fontId="16" fillId="0" borderId="19" xfId="0" applyFont="1" applyBorder="1" applyAlignment="1">
      <alignment horizontal="left" vertical="top"/>
    </xf>
    <xf numFmtId="0" fontId="16" fillId="12" borderId="19" xfId="0" applyFont="1" applyFill="1" applyBorder="1" applyAlignment="1">
      <alignment horizontal="left" vertical="top"/>
    </xf>
    <xf numFmtId="0" fontId="1" fillId="0" borderId="345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top"/>
    </xf>
    <xf numFmtId="0" fontId="47" fillId="26" borderId="29" xfId="0" applyFont="1" applyFill="1" applyBorder="1" applyAlignment="1">
      <alignment horizontal="left" vertical="top"/>
    </xf>
    <xf numFmtId="0" fontId="47" fillId="26" borderId="19" xfId="0" applyFont="1" applyFill="1" applyBorder="1" applyAlignment="1">
      <alignment horizontal="left" vertical="top"/>
    </xf>
    <xf numFmtId="0" fontId="38" fillId="11" borderId="2" xfId="0" applyFont="1" applyFill="1" applyBorder="1" applyAlignment="1">
      <alignment horizontal="center" vertical="center"/>
    </xf>
    <xf numFmtId="0" fontId="38" fillId="11" borderId="29" xfId="0" applyFont="1" applyFill="1" applyBorder="1" applyAlignment="1">
      <alignment horizontal="center" vertical="center"/>
    </xf>
    <xf numFmtId="0" fontId="16" fillId="6" borderId="327" xfId="0" applyFont="1" applyFill="1" applyBorder="1" applyAlignment="1">
      <alignment horizontal="left" vertical="top"/>
    </xf>
    <xf numFmtId="0" fontId="16" fillId="6" borderId="29" xfId="0" applyFont="1" applyFill="1" applyBorder="1" applyAlignment="1">
      <alignment horizontal="left" vertical="top"/>
    </xf>
    <xf numFmtId="0" fontId="16" fillId="6" borderId="328" xfId="0" applyFont="1" applyFill="1" applyBorder="1" applyAlignment="1">
      <alignment horizontal="left" vertical="top"/>
    </xf>
    <xf numFmtId="20" fontId="33" fillId="11" borderId="343" xfId="0" applyNumberFormat="1" applyFont="1" applyFill="1" applyBorder="1" applyAlignment="1">
      <alignment horizontal="center" vertical="center"/>
    </xf>
    <xf numFmtId="20" fontId="33" fillId="11" borderId="344" xfId="0" applyNumberFormat="1" applyFont="1" applyFill="1" applyBorder="1" applyAlignment="1">
      <alignment horizontal="center" vertical="center"/>
    </xf>
    <xf numFmtId="20" fontId="33" fillId="11" borderId="345" xfId="0" applyNumberFormat="1" applyFont="1" applyFill="1" applyBorder="1" applyAlignment="1">
      <alignment horizontal="center" vertical="center"/>
    </xf>
    <xf numFmtId="20" fontId="33" fillId="11" borderId="33" xfId="0" applyNumberFormat="1" applyFont="1" applyFill="1" applyBorder="1" applyAlignment="1">
      <alignment horizontal="center" vertical="center"/>
    </xf>
    <xf numFmtId="20" fontId="33" fillId="11" borderId="0" xfId="0" applyNumberFormat="1" applyFont="1" applyFill="1" applyAlignment="1">
      <alignment horizontal="center" vertical="center"/>
    </xf>
    <xf numFmtId="20" fontId="33" fillId="11" borderId="30" xfId="0" applyNumberFormat="1" applyFont="1" applyFill="1" applyBorder="1" applyAlignment="1">
      <alignment horizontal="center" vertical="center"/>
    </xf>
    <xf numFmtId="20" fontId="33" fillId="11" borderId="21" xfId="0" applyNumberFormat="1" applyFont="1" applyFill="1" applyBorder="1" applyAlignment="1">
      <alignment horizontal="center" vertical="center"/>
    </xf>
    <xf numFmtId="20" fontId="33" fillId="11" borderId="89" xfId="0" applyNumberFormat="1" applyFont="1" applyFill="1" applyBorder="1" applyAlignment="1">
      <alignment horizontal="center" vertical="center"/>
    </xf>
    <xf numFmtId="20" fontId="33" fillId="11" borderId="20" xfId="0" applyNumberFormat="1" applyFont="1" applyFill="1" applyBorder="1" applyAlignment="1">
      <alignment horizontal="center" vertical="center"/>
    </xf>
    <xf numFmtId="20" fontId="29" fillId="11" borderId="50" xfId="0" applyNumberFormat="1" applyFont="1" applyFill="1" applyBorder="1" applyAlignment="1">
      <alignment horizontal="center" vertical="center"/>
    </xf>
    <xf numFmtId="20" fontId="29" fillId="11" borderId="115" xfId="0" applyNumberFormat="1" applyFont="1" applyFill="1" applyBorder="1" applyAlignment="1">
      <alignment horizontal="center" vertical="center"/>
    </xf>
    <xf numFmtId="20" fontId="29" fillId="11" borderId="21" xfId="0" applyNumberFormat="1" applyFont="1" applyFill="1" applyBorder="1" applyAlignment="1">
      <alignment horizontal="center" vertical="center"/>
    </xf>
    <xf numFmtId="20" fontId="29" fillId="11" borderId="89" xfId="0" applyNumberFormat="1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left" vertical="top" wrapText="1"/>
    </xf>
    <xf numFmtId="20" fontId="43" fillId="11" borderId="339" xfId="0" applyNumberFormat="1" applyFont="1" applyFill="1" applyBorder="1" applyAlignment="1">
      <alignment horizontal="center" vertical="center"/>
    </xf>
    <xf numFmtId="20" fontId="43" fillId="11" borderId="340" xfId="0" applyNumberFormat="1" applyFont="1" applyFill="1" applyBorder="1" applyAlignment="1">
      <alignment horizontal="center" vertical="center"/>
    </xf>
    <xf numFmtId="20" fontId="43" fillId="11" borderId="341" xfId="0" applyNumberFormat="1" applyFont="1" applyFill="1" applyBorder="1" applyAlignment="1">
      <alignment horizontal="center" vertical="center"/>
    </xf>
    <xf numFmtId="0" fontId="16" fillId="0" borderId="29" xfId="0" applyFont="1" applyBorder="1" applyAlignment="1">
      <alignment horizontal="left" vertical="top" wrapText="1"/>
    </xf>
    <xf numFmtId="0" fontId="16" fillId="0" borderId="19" xfId="0" applyFont="1" applyBorder="1" applyAlignment="1">
      <alignment horizontal="left" vertical="top" wrapText="1"/>
    </xf>
    <xf numFmtId="0" fontId="36" fillId="6" borderId="2" xfId="0" applyFont="1" applyFill="1" applyBorder="1" applyAlignment="1">
      <alignment horizontal="left" vertical="top"/>
    </xf>
    <xf numFmtId="0" fontId="36" fillId="6" borderId="29" xfId="0" applyFont="1" applyFill="1" applyBorder="1" applyAlignment="1">
      <alignment horizontal="left" vertical="top"/>
    </xf>
    <xf numFmtId="0" fontId="16" fillId="0" borderId="327" xfId="0" applyFont="1" applyBorder="1" applyAlignment="1">
      <alignment horizontal="left" vertical="top"/>
    </xf>
    <xf numFmtId="0" fontId="16" fillId="0" borderId="328" xfId="0" applyFont="1" applyBorder="1" applyAlignment="1">
      <alignment horizontal="left" vertical="top"/>
    </xf>
    <xf numFmtId="0" fontId="45" fillId="26" borderId="29" xfId="0" applyFont="1" applyFill="1" applyBorder="1" applyAlignment="1">
      <alignment horizontal="left" vertical="top"/>
    </xf>
    <xf numFmtId="0" fontId="45" fillId="26" borderId="19" xfId="0" applyFont="1" applyFill="1" applyBorder="1" applyAlignment="1">
      <alignment horizontal="left" vertical="top"/>
    </xf>
    <xf numFmtId="20" fontId="36" fillId="6" borderId="49" xfId="0" applyNumberFormat="1" applyFont="1" applyFill="1" applyBorder="1" applyAlignment="1">
      <alignment horizontal="center" vertical="center"/>
    </xf>
    <xf numFmtId="20" fontId="36" fillId="6" borderId="91" xfId="0" applyNumberFormat="1" applyFont="1" applyFill="1" applyBorder="1" applyAlignment="1">
      <alignment horizontal="center" vertical="center"/>
    </xf>
    <xf numFmtId="0" fontId="51" fillId="6" borderId="2" xfId="0" applyFont="1" applyFill="1" applyBorder="1" applyAlignment="1">
      <alignment horizontal="left" vertical="top"/>
    </xf>
    <xf numFmtId="0" fontId="51" fillId="6" borderId="29" xfId="0" applyFont="1" applyFill="1" applyBorder="1" applyAlignment="1">
      <alignment horizontal="left" vertical="top"/>
    </xf>
    <xf numFmtId="0" fontId="51" fillId="6" borderId="19" xfId="0" applyFont="1" applyFill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29" xfId="0" applyFont="1" applyBorder="1" applyAlignment="1">
      <alignment horizontal="left" vertical="top"/>
    </xf>
    <xf numFmtId="0" fontId="49" fillId="31" borderId="2" xfId="0" applyFont="1" applyFill="1" applyBorder="1" applyAlignment="1">
      <alignment horizontal="left" vertical="top" wrapText="1"/>
    </xf>
    <xf numFmtId="0" fontId="49" fillId="31" borderId="29" xfId="0" applyFont="1" applyFill="1" applyBorder="1" applyAlignment="1">
      <alignment horizontal="left" vertical="top"/>
    </xf>
    <xf numFmtId="0" fontId="49" fillId="31" borderId="19" xfId="0" applyFont="1" applyFill="1" applyBorder="1" applyAlignment="1">
      <alignment horizontal="left" vertical="top"/>
    </xf>
    <xf numFmtId="0" fontId="41" fillId="6" borderId="2" xfId="0" applyFont="1" applyFill="1" applyBorder="1" applyAlignment="1">
      <alignment horizontal="left" vertical="top"/>
    </xf>
    <xf numFmtId="0" fontId="41" fillId="6" borderId="29" xfId="0" applyFont="1" applyFill="1" applyBorder="1" applyAlignment="1">
      <alignment horizontal="left" vertical="top"/>
    </xf>
    <xf numFmtId="0" fontId="41" fillId="6" borderId="19" xfId="0" applyFont="1" applyFill="1" applyBorder="1" applyAlignment="1">
      <alignment horizontal="left" vertical="top"/>
    </xf>
    <xf numFmtId="20" fontId="33" fillId="11" borderId="50" xfId="0" applyNumberFormat="1" applyFont="1" applyFill="1" applyBorder="1" applyAlignment="1">
      <alignment horizontal="center" vertical="center"/>
    </xf>
    <xf numFmtId="20" fontId="33" fillId="11" borderId="115" xfId="0" applyNumberFormat="1" applyFont="1" applyFill="1" applyBorder="1" applyAlignment="1">
      <alignment horizontal="center" vertical="center"/>
    </xf>
    <xf numFmtId="0" fontId="28" fillId="12" borderId="2" xfId="0" applyFont="1" applyFill="1" applyBorder="1" applyAlignment="1">
      <alignment horizontal="left" vertical="top" wrapText="1"/>
    </xf>
    <xf numFmtId="0" fontId="28" fillId="12" borderId="29" xfId="0" applyFont="1" applyFill="1" applyBorder="1" applyAlignment="1">
      <alignment horizontal="left" vertical="top"/>
    </xf>
    <xf numFmtId="0" fontId="28" fillId="12" borderId="19" xfId="0" applyFont="1" applyFill="1" applyBorder="1" applyAlignment="1">
      <alignment horizontal="left" vertical="top"/>
    </xf>
    <xf numFmtId="0" fontId="41" fillId="16" borderId="2" xfId="0" applyFont="1" applyFill="1" applyBorder="1" applyAlignment="1">
      <alignment horizontal="left" vertical="top"/>
    </xf>
    <xf numFmtId="0" fontId="41" fillId="16" borderId="29" xfId="0" applyFont="1" applyFill="1" applyBorder="1" applyAlignment="1">
      <alignment horizontal="left" vertical="top"/>
    </xf>
    <xf numFmtId="0" fontId="46" fillId="4" borderId="2" xfId="0" applyFont="1" applyFill="1" applyBorder="1" applyAlignment="1">
      <alignment horizontal="left" vertical="top"/>
    </xf>
    <xf numFmtId="0" fontId="46" fillId="4" borderId="29" xfId="0" applyFont="1" applyFill="1" applyBorder="1" applyAlignment="1">
      <alignment horizontal="left" vertical="top"/>
    </xf>
    <xf numFmtId="0" fontId="46" fillId="4" borderId="19" xfId="0" applyFont="1" applyFill="1" applyBorder="1" applyAlignment="1">
      <alignment horizontal="left" vertical="top"/>
    </xf>
    <xf numFmtId="20" fontId="50" fillId="6" borderId="246" xfId="0" applyNumberFormat="1" applyFont="1" applyFill="1" applyBorder="1" applyAlignment="1">
      <alignment horizontal="center" vertical="center"/>
    </xf>
    <xf numFmtId="20" fontId="50" fillId="6" borderId="351" xfId="0" applyNumberFormat="1" applyFont="1" applyFill="1" applyBorder="1" applyAlignment="1">
      <alignment horizontal="center" vertical="center"/>
    </xf>
    <xf numFmtId="20" fontId="50" fillId="6" borderId="33" xfId="0" applyNumberFormat="1" applyFont="1" applyFill="1" applyBorder="1" applyAlignment="1">
      <alignment horizontal="center" vertical="center"/>
    </xf>
    <xf numFmtId="20" fontId="50" fillId="6" borderId="0" xfId="0" applyNumberFormat="1" applyFont="1" applyFill="1" applyAlignment="1">
      <alignment horizontal="center" vertical="center"/>
    </xf>
    <xf numFmtId="20" fontId="50" fillId="6" borderId="21" xfId="0" applyNumberFormat="1" applyFont="1" applyFill="1" applyBorder="1" applyAlignment="1">
      <alignment horizontal="center" vertical="center"/>
    </xf>
    <xf numFmtId="20" fontId="50" fillId="6" borderId="89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top"/>
    </xf>
    <xf numFmtId="0" fontId="6" fillId="6" borderId="29" xfId="0" applyFont="1" applyFill="1" applyBorder="1" applyAlignment="1">
      <alignment horizontal="left" vertical="top"/>
    </xf>
    <xf numFmtId="0" fontId="6" fillId="6" borderId="19" xfId="0" applyFont="1" applyFill="1" applyBorder="1" applyAlignment="1">
      <alignment horizontal="left" vertical="top"/>
    </xf>
    <xf numFmtId="0" fontId="49" fillId="6" borderId="2" xfId="0" applyFont="1" applyFill="1" applyBorder="1" applyAlignment="1">
      <alignment horizontal="left" vertical="top"/>
    </xf>
    <xf numFmtId="0" fontId="49" fillId="6" borderId="29" xfId="0" applyFont="1" applyFill="1" applyBorder="1" applyAlignment="1">
      <alignment horizontal="left" vertical="top"/>
    </xf>
    <xf numFmtId="0" fontId="49" fillId="6" borderId="19" xfId="0" applyFont="1" applyFill="1" applyBorder="1" applyAlignment="1">
      <alignment horizontal="left" vertical="top"/>
    </xf>
    <xf numFmtId="0" fontId="18" fillId="11" borderId="2" xfId="0" applyFont="1" applyFill="1" applyBorder="1" applyAlignment="1">
      <alignment horizontal="left" vertical="top"/>
    </xf>
    <xf numFmtId="0" fontId="18" fillId="11" borderId="29" xfId="0" applyFont="1" applyFill="1" applyBorder="1" applyAlignment="1">
      <alignment horizontal="left" vertical="top"/>
    </xf>
    <xf numFmtId="0" fontId="18" fillId="11" borderId="19" xfId="0" applyFont="1" applyFill="1" applyBorder="1" applyAlignment="1">
      <alignment horizontal="left" vertical="top"/>
    </xf>
    <xf numFmtId="0" fontId="1" fillId="24" borderId="2" xfId="0" applyFont="1" applyFill="1" applyBorder="1" applyAlignment="1">
      <alignment horizontal="left" vertical="top"/>
    </xf>
    <xf numFmtId="0" fontId="1" fillId="24" borderId="29" xfId="0" applyFont="1" applyFill="1" applyBorder="1" applyAlignment="1">
      <alignment horizontal="left" vertical="top"/>
    </xf>
    <xf numFmtId="0" fontId="49" fillId="6" borderId="2" xfId="0" applyFont="1" applyFill="1" applyBorder="1" applyAlignment="1">
      <alignment horizontal="left" vertical="top" wrapText="1"/>
    </xf>
    <xf numFmtId="0" fontId="16" fillId="6" borderId="2" xfId="0" applyFont="1" applyFill="1" applyBorder="1" applyAlignment="1">
      <alignment horizontal="left" vertical="top"/>
    </xf>
    <xf numFmtId="0" fontId="1" fillId="23" borderId="2" xfId="0" applyFont="1" applyFill="1" applyBorder="1" applyAlignment="1">
      <alignment horizontal="left" vertical="top"/>
    </xf>
    <xf numFmtId="0" fontId="1" fillId="23" borderId="29" xfId="0" applyFont="1" applyFill="1" applyBorder="1" applyAlignment="1">
      <alignment horizontal="left" vertical="top"/>
    </xf>
    <xf numFmtId="0" fontId="1" fillId="23" borderId="19" xfId="0" applyFont="1" applyFill="1" applyBorder="1" applyAlignment="1">
      <alignment horizontal="left" vertical="top"/>
    </xf>
    <xf numFmtId="0" fontId="1" fillId="24" borderId="19" xfId="0" applyFont="1" applyFill="1" applyBorder="1" applyAlignment="1">
      <alignment horizontal="left" vertical="top"/>
    </xf>
    <xf numFmtId="0" fontId="1" fillId="24" borderId="2" xfId="0" applyFont="1" applyFill="1" applyBorder="1" applyAlignment="1">
      <alignment horizontal="left" vertical="top" wrapText="1"/>
    </xf>
    <xf numFmtId="0" fontId="16" fillId="6" borderId="19" xfId="0" applyFont="1" applyFill="1" applyBorder="1" applyAlignment="1">
      <alignment horizontal="left" vertical="top"/>
    </xf>
    <xf numFmtId="20" fontId="54" fillId="19" borderId="12" xfId="0" applyNumberFormat="1" applyFont="1" applyFill="1" applyBorder="1" applyAlignment="1">
      <alignment horizontal="center" vertical="center"/>
    </xf>
    <xf numFmtId="0" fontId="54" fillId="19" borderId="11" xfId="0" applyFont="1" applyFill="1" applyBorder="1">
      <alignment vertical="center"/>
    </xf>
    <xf numFmtId="0" fontId="54" fillId="19" borderId="11" xfId="0" applyFont="1" applyFill="1" applyBorder="1" applyAlignment="1">
      <alignment horizontal="center" vertical="center"/>
    </xf>
    <xf numFmtId="0" fontId="54" fillId="19" borderId="13" xfId="0" applyFont="1" applyFill="1" applyBorder="1" applyAlignment="1">
      <alignment horizontal="center" vertical="center"/>
    </xf>
    <xf numFmtId="0" fontId="52" fillId="6" borderId="89" xfId="0" applyFont="1" applyFill="1" applyBorder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96">
    <dxf>
      <fill>
        <patternFill>
          <bgColor theme="7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1F0C8"/>
        </patternFill>
      </fill>
    </dxf>
    <dxf>
      <fill>
        <patternFill patternType="solid">
          <fgColor indexed="64"/>
          <bgColor rgb="FFC1F0C8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1F0C8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1F0C8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1F0C8"/>
        </patternFill>
      </fill>
    </dxf>
    <dxf>
      <fill>
        <patternFill>
          <bgColor theme="7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1F0C8"/>
        </patternFill>
      </fill>
    </dxf>
    <dxf>
      <fill>
        <patternFill patternType="solid">
          <fgColor indexed="64"/>
          <bgColor rgb="FFC1F0C8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1F0C8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1F0C8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1F0C8"/>
        </patternFill>
      </fill>
    </dxf>
    <dxf>
      <fill>
        <patternFill>
          <bgColor theme="7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1F0C8"/>
        </patternFill>
      </fill>
    </dxf>
    <dxf>
      <fill>
        <patternFill patternType="solid">
          <fgColor indexed="64"/>
          <bgColor rgb="FFC1F0C8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1F0C8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1F0C8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1F0C8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1F0C8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1F0C8"/>
        </patternFill>
      </fill>
    </dxf>
    <dxf>
      <fill>
        <patternFill patternType="solid">
          <fgColor indexed="64"/>
          <bgColor rgb="FFC1F0C8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1F0C8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1F0C8"/>
        </patternFill>
      </fill>
    </dxf>
    <dxf>
      <fill>
        <patternFill patternType="solid">
          <fgColor indexed="64"/>
          <bgColor rgb="FFF7C7AC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C1F0C8"/>
        </patternFill>
      </fill>
    </dxf>
    <dxf>
      <font>
        <b val="0"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FFF0C1"/>
      <color rgb="FFCDF2FF"/>
      <color rgb="FFFFEF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502228</xdr:colOff>
      <xdr:row>21</xdr:row>
      <xdr:rowOff>167409</xdr:rowOff>
    </xdr:from>
    <xdr:ext cx="8794202" cy="411884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5A712A-AB5D-A879-9EDA-9FE940104B60}"/>
            </a:ext>
          </a:extLst>
        </xdr:cNvPr>
        <xdr:cNvSpPr txBox="1"/>
      </xdr:nvSpPr>
      <xdr:spPr>
        <a:xfrm>
          <a:off x="1733909" y="8854866"/>
          <a:ext cx="8794202" cy="41188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2800" b="1">
              <a:solidFill>
                <a:schemeClr val="bg1"/>
              </a:solidFill>
            </a:rPr>
            <a:t>계속 잡기</a:t>
          </a:r>
          <a:endParaRPr lang="en-US" altLang="ko-KR" sz="2800" b="1">
            <a:solidFill>
              <a:schemeClr val="bg1"/>
            </a:solidFill>
          </a:endParaRPr>
        </a:p>
        <a:p>
          <a:r>
            <a:rPr lang="ko-KR" altLang="en-US" sz="2800" b="1">
              <a:solidFill>
                <a:schemeClr val="bg1"/>
              </a:solidFill>
            </a:rPr>
            <a:t>피플평택 </a:t>
          </a:r>
          <a:r>
            <a:rPr lang="en-US" altLang="ko-KR" sz="2800" b="1">
              <a:solidFill>
                <a:schemeClr val="bg1"/>
              </a:solidFill>
            </a:rPr>
            <a:t>/ </a:t>
          </a:r>
          <a:r>
            <a:rPr lang="ko-KR" altLang="en-US" sz="2800" b="1">
              <a:solidFill>
                <a:schemeClr val="bg1"/>
              </a:solidFill>
            </a:rPr>
            <a:t>현대홈 스타 </a:t>
          </a:r>
          <a:r>
            <a:rPr lang="en-US" altLang="ko-KR" sz="2800" b="1">
              <a:solidFill>
                <a:schemeClr val="bg1"/>
              </a:solidFill>
            </a:rPr>
            <a:t>/ </a:t>
          </a:r>
          <a:r>
            <a:rPr lang="ko-KR" altLang="en-US" sz="2800" b="1">
              <a:solidFill>
                <a:schemeClr val="bg1"/>
              </a:solidFill>
            </a:rPr>
            <a:t>산타티씨 수원 </a:t>
          </a:r>
          <a:r>
            <a:rPr lang="en-US" altLang="ko-KR" sz="2800" b="1">
              <a:solidFill>
                <a:schemeClr val="bg1"/>
              </a:solidFill>
            </a:rPr>
            <a:t>/ </a:t>
          </a:r>
          <a:r>
            <a:rPr lang="ko-KR" altLang="en-US" sz="2800" b="1">
              <a:solidFill>
                <a:schemeClr val="bg1"/>
              </a:solidFill>
            </a:rPr>
            <a:t>현대홈 위대한</a:t>
          </a:r>
          <a:endParaRPr lang="en-US" altLang="ko-KR" sz="2800" b="1">
            <a:solidFill>
              <a:schemeClr val="bg1"/>
            </a:solidFill>
          </a:endParaRPr>
        </a:p>
        <a:p>
          <a:r>
            <a:rPr lang="ko-KR" altLang="en-US" sz="2800" b="1">
              <a:solidFill>
                <a:schemeClr val="bg1"/>
              </a:solidFill>
            </a:rPr>
            <a:t>피플오산 </a:t>
          </a:r>
          <a:r>
            <a:rPr lang="en-US" altLang="ko-KR" sz="2800" b="1">
              <a:solidFill>
                <a:schemeClr val="bg1"/>
              </a:solidFill>
            </a:rPr>
            <a:t>/ GAK</a:t>
          </a:r>
          <a:r>
            <a:rPr lang="ko-KR" altLang="en-US" sz="2800" b="1">
              <a:solidFill>
                <a:schemeClr val="bg1"/>
              </a:solidFill>
            </a:rPr>
            <a:t>케이라이프 </a:t>
          </a:r>
          <a:r>
            <a:rPr lang="en-US" altLang="ko-KR" sz="2800" b="1">
              <a:solidFill>
                <a:schemeClr val="bg1"/>
              </a:solidFill>
            </a:rPr>
            <a:t>/ </a:t>
          </a:r>
          <a:r>
            <a:rPr lang="ko-KR" altLang="en-US" sz="2800" b="1">
              <a:solidFill>
                <a:schemeClr val="bg1"/>
              </a:solidFill>
            </a:rPr>
            <a:t>엑셀 평택 </a:t>
          </a:r>
          <a:r>
            <a:rPr lang="en-US" altLang="ko-KR" sz="2800" b="1">
              <a:solidFill>
                <a:schemeClr val="bg1"/>
              </a:solidFill>
            </a:rPr>
            <a:t>/ </a:t>
          </a:r>
          <a:r>
            <a:rPr lang="ko-KR" altLang="en-US" sz="2800" b="1">
              <a:solidFill>
                <a:schemeClr val="bg1"/>
              </a:solidFill>
            </a:rPr>
            <a:t>인카 다렉비전 </a:t>
          </a:r>
          <a:r>
            <a:rPr lang="en-US" altLang="ko-KR" sz="2800" b="1">
              <a:solidFill>
                <a:schemeClr val="bg1"/>
              </a:solidFill>
            </a:rPr>
            <a:t>/ </a:t>
          </a:r>
        </a:p>
        <a:p>
          <a:r>
            <a:rPr lang="ko-KR" altLang="en-US" sz="2800" b="1">
              <a:solidFill>
                <a:schemeClr val="bg1"/>
              </a:solidFill>
            </a:rPr>
            <a:t>김숙이 </a:t>
          </a:r>
          <a:r>
            <a:rPr lang="en-US" altLang="ko-KR" sz="2800" b="1">
              <a:solidFill>
                <a:schemeClr val="bg1"/>
              </a:solidFill>
            </a:rPr>
            <a:t>/ </a:t>
          </a:r>
          <a:r>
            <a:rPr lang="ko-KR" altLang="en-US" sz="2800" b="1">
              <a:solidFill>
                <a:schemeClr val="bg1"/>
              </a:solidFill>
            </a:rPr>
            <a:t>병점 </a:t>
          </a:r>
          <a:r>
            <a:rPr lang="en-US" altLang="ko-KR" sz="2800" b="1">
              <a:solidFill>
                <a:schemeClr val="bg1"/>
              </a:solidFill>
            </a:rPr>
            <a:t>2</a:t>
          </a:r>
          <a:r>
            <a:rPr lang="ko-KR" altLang="en-US" sz="2800" b="1">
              <a:solidFill>
                <a:schemeClr val="bg1"/>
              </a:solidFill>
            </a:rPr>
            <a:t>월교육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96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B2394B-840C-4438-B3F0-67CA9B5C01A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088a71f-6926-4854-a46a-b0f3b57fc76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44"/>
  <sheetViews>
    <sheetView showGridLines="0" zoomScale="60" zoomScaleNormal="60" workbookViewId="0">
      <selection activeCell="G43" sqref="G43"/>
    </sheetView>
  </sheetViews>
  <sheetFormatPr defaultRowHeight="30.75" customHeight="1" x14ac:dyDescent="0.3"/>
  <cols>
    <col min="1" max="1" width="4.125" style="1" customWidth="1"/>
    <col min="2" max="2" width="14" style="1" customWidth="1"/>
    <col min="3" max="3" width="8.375" style="1" customWidth="1"/>
    <col min="4" max="4" width="25.375" style="1" customWidth="1"/>
    <col min="5" max="6" width="9.125" style="1" customWidth="1"/>
    <col min="7" max="7" width="7.75" style="1" customWidth="1"/>
    <col min="8" max="8" width="25.375" style="1" customWidth="1"/>
    <col min="9" max="10" width="9.125" style="1" customWidth="1"/>
    <col min="11" max="11" width="7.75" style="1" customWidth="1"/>
    <col min="12" max="12" width="25.375" style="1" customWidth="1"/>
    <col min="13" max="14" width="9.125" style="1" customWidth="1"/>
    <col min="15" max="15" width="7.75" style="1" customWidth="1"/>
    <col min="16" max="16" width="25.375" style="1" customWidth="1"/>
    <col min="17" max="18" width="9.125" style="1" customWidth="1"/>
    <col min="19" max="19" width="7.75" style="1" customWidth="1"/>
    <col min="20" max="20" width="25.375" style="1" customWidth="1"/>
    <col min="21" max="22" width="9.125" style="1" customWidth="1"/>
    <col min="23" max="16384" width="9" style="1"/>
  </cols>
  <sheetData>
    <row r="2" spans="2:22" ht="96" customHeight="1" thickBot="1" x14ac:dyDescent="0.35">
      <c r="B2" s="132" t="s">
        <v>96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</row>
    <row r="3" spans="2:22" ht="30.75" customHeight="1" thickTop="1" x14ac:dyDescent="0.3"/>
    <row r="4" spans="2:22" ht="30.75" customHeight="1" thickBot="1" x14ac:dyDescent="0.35">
      <c r="B4" s="4" t="s">
        <v>0</v>
      </c>
      <c r="C4" s="1077" t="s">
        <v>1</v>
      </c>
      <c r="D4" s="1077"/>
      <c r="E4" s="1077"/>
      <c r="F4" s="1077"/>
      <c r="G4" s="1077" t="s">
        <v>2</v>
      </c>
      <c r="H4" s="1077"/>
      <c r="I4" s="1077"/>
      <c r="J4" s="1077"/>
      <c r="K4" s="1077" t="s">
        <v>3</v>
      </c>
      <c r="L4" s="1077"/>
      <c r="M4" s="1077"/>
      <c r="N4" s="1077"/>
      <c r="O4" s="1077" t="s">
        <v>4</v>
      </c>
      <c r="P4" s="1077"/>
      <c r="Q4" s="1077"/>
      <c r="R4" s="1077"/>
      <c r="S4" s="1077" t="s">
        <v>5</v>
      </c>
      <c r="T4" s="1077"/>
      <c r="U4" s="1077"/>
      <c r="V4" s="1078"/>
    </row>
    <row r="5" spans="2:22" ht="30.75" customHeight="1" thickTop="1" x14ac:dyDescent="0.3">
      <c r="B5" s="34" t="s">
        <v>28</v>
      </c>
      <c r="C5" s="27">
        <v>1</v>
      </c>
      <c r="D5" s="28" t="s">
        <v>6</v>
      </c>
      <c r="E5" s="28" t="s">
        <v>7</v>
      </c>
      <c r="F5" s="26" t="s">
        <v>8</v>
      </c>
      <c r="G5" s="29">
        <f>C5+1</f>
        <v>2</v>
      </c>
      <c r="H5" s="28" t="s">
        <v>6</v>
      </c>
      <c r="I5" s="28" t="s">
        <v>7</v>
      </c>
      <c r="J5" s="30" t="s">
        <v>8</v>
      </c>
      <c r="K5" s="29">
        <f>G5+1</f>
        <v>3</v>
      </c>
      <c r="L5" s="28" t="s">
        <v>6</v>
      </c>
      <c r="M5" s="28" t="s">
        <v>7</v>
      </c>
      <c r="N5" s="30" t="s">
        <v>8</v>
      </c>
      <c r="O5" s="31">
        <f>K5+1</f>
        <v>4</v>
      </c>
      <c r="P5" s="32" t="s">
        <v>6</v>
      </c>
      <c r="Q5" s="28" t="s">
        <v>7</v>
      </c>
      <c r="R5" s="30" t="s">
        <v>8</v>
      </c>
      <c r="S5" s="29">
        <f>O5+1</f>
        <v>5</v>
      </c>
      <c r="T5" s="28" t="s">
        <v>6</v>
      </c>
      <c r="U5" s="28" t="s">
        <v>7</v>
      </c>
      <c r="V5" s="33" t="s">
        <v>8</v>
      </c>
    </row>
    <row r="6" spans="2:22" ht="30.75" customHeight="1" x14ac:dyDescent="0.3">
      <c r="B6" s="1085" t="s">
        <v>9</v>
      </c>
      <c r="C6" s="36">
        <v>0.39583333333333331</v>
      </c>
      <c r="D6" s="37" t="s">
        <v>10</v>
      </c>
      <c r="E6" s="38"/>
      <c r="F6" s="39"/>
      <c r="G6" s="40">
        <v>0.40277777777777779</v>
      </c>
      <c r="H6" s="37" t="s">
        <v>11</v>
      </c>
      <c r="I6" s="38"/>
      <c r="J6" s="41"/>
      <c r="K6" s="40">
        <v>0.40277777777777779</v>
      </c>
      <c r="L6" s="37" t="s">
        <v>16</v>
      </c>
      <c r="M6" s="38"/>
      <c r="N6" s="41"/>
      <c r="O6" s="40">
        <v>0.41666666666666669</v>
      </c>
      <c r="P6" s="42" t="s">
        <v>18</v>
      </c>
      <c r="Q6" s="38"/>
      <c r="R6" s="41"/>
      <c r="S6" s="40">
        <v>0.40277777777777779</v>
      </c>
      <c r="T6" s="37" t="s">
        <v>22</v>
      </c>
      <c r="U6" s="38"/>
      <c r="V6" s="43"/>
    </row>
    <row r="7" spans="2:22" ht="30.75" customHeight="1" x14ac:dyDescent="0.3">
      <c r="B7" s="1085"/>
      <c r="C7" s="44"/>
      <c r="D7" s="45"/>
      <c r="E7" s="46"/>
      <c r="F7" s="47"/>
      <c r="G7" s="48"/>
      <c r="H7" s="45"/>
      <c r="I7" s="46"/>
      <c r="J7" s="49"/>
      <c r="K7" s="50">
        <v>0.45833333333333331</v>
      </c>
      <c r="L7" s="45" t="s">
        <v>17</v>
      </c>
      <c r="M7" s="46"/>
      <c r="N7" s="49"/>
      <c r="O7" s="50"/>
      <c r="P7" s="51"/>
      <c r="Q7" s="46"/>
      <c r="R7" s="49"/>
      <c r="S7" s="48"/>
      <c r="T7" s="45"/>
      <c r="U7" s="46"/>
      <c r="V7" s="52"/>
    </row>
    <row r="8" spans="2:22" ht="30.75" customHeight="1" x14ac:dyDescent="0.3">
      <c r="B8" s="1085"/>
      <c r="C8" s="53"/>
      <c r="D8" s="54"/>
      <c r="E8" s="55"/>
      <c r="F8" s="56"/>
      <c r="G8" s="57"/>
      <c r="H8" s="54"/>
      <c r="I8" s="55"/>
      <c r="J8" s="58"/>
      <c r="K8" s="57"/>
      <c r="L8" s="54"/>
      <c r="M8" s="55"/>
      <c r="N8" s="58"/>
      <c r="O8" s="57"/>
      <c r="P8" s="59"/>
      <c r="Q8" s="55"/>
      <c r="R8" s="58"/>
      <c r="S8" s="57"/>
      <c r="T8" s="54"/>
      <c r="U8" s="55"/>
      <c r="V8" s="60"/>
    </row>
    <row r="9" spans="2:22" ht="42" customHeight="1" x14ac:dyDescent="0.3">
      <c r="B9" s="1086"/>
      <c r="C9" s="1084" t="s">
        <v>24</v>
      </c>
      <c r="D9" s="1082"/>
      <c r="E9" s="1082"/>
      <c r="F9" s="1083"/>
      <c r="G9" s="1081" t="s">
        <v>25</v>
      </c>
      <c r="H9" s="1082"/>
      <c r="I9" s="1082"/>
      <c r="J9" s="1083"/>
      <c r="K9" s="1081" t="s">
        <v>26</v>
      </c>
      <c r="L9" s="1082"/>
      <c r="M9" s="1082"/>
      <c r="N9" s="1083"/>
      <c r="O9" s="1081" t="s">
        <v>27</v>
      </c>
      <c r="P9" s="1082"/>
      <c r="Q9" s="1082"/>
      <c r="R9" s="1083"/>
      <c r="S9" s="1081" t="s">
        <v>23</v>
      </c>
      <c r="T9" s="1082"/>
      <c r="U9" s="1082"/>
      <c r="V9" s="1082"/>
    </row>
    <row r="10" spans="2:22" ht="30.75" customHeight="1" x14ac:dyDescent="0.3">
      <c r="B10" s="1087" t="s">
        <v>12</v>
      </c>
      <c r="C10" s="76">
        <v>0.39583333333333331</v>
      </c>
      <c r="D10" s="77" t="s">
        <v>14</v>
      </c>
      <c r="E10" s="78"/>
      <c r="F10" s="75"/>
      <c r="G10" s="79">
        <v>0.41666666666666669</v>
      </c>
      <c r="H10" s="77" t="s">
        <v>44</v>
      </c>
      <c r="I10" s="78"/>
      <c r="J10" s="80"/>
      <c r="K10" s="79">
        <v>0.41666666666666669</v>
      </c>
      <c r="L10" s="77" t="s">
        <v>15</v>
      </c>
      <c r="M10" s="78"/>
      <c r="N10" s="80"/>
      <c r="O10" s="79">
        <v>0.40277777777777779</v>
      </c>
      <c r="P10" s="77" t="s">
        <v>19</v>
      </c>
      <c r="Q10" s="78"/>
      <c r="R10" s="80"/>
      <c r="S10" s="79">
        <v>0.3888888888888889</v>
      </c>
      <c r="T10" s="77" t="s">
        <v>21</v>
      </c>
      <c r="U10" s="78"/>
      <c r="V10" s="81"/>
    </row>
    <row r="11" spans="2:22" ht="30.75" customHeight="1" x14ac:dyDescent="0.3">
      <c r="B11" s="1088"/>
      <c r="C11" s="69"/>
      <c r="D11" s="70"/>
      <c r="E11" s="71"/>
      <c r="F11" s="68"/>
      <c r="G11" s="72"/>
      <c r="H11" s="70"/>
      <c r="I11" s="71"/>
      <c r="J11" s="73"/>
      <c r="K11" s="72"/>
      <c r="L11" s="70"/>
      <c r="M11" s="71"/>
      <c r="N11" s="73"/>
      <c r="O11" s="72"/>
      <c r="P11" s="70"/>
      <c r="Q11" s="71"/>
      <c r="R11" s="73"/>
      <c r="S11" s="72"/>
      <c r="T11" s="70"/>
      <c r="U11" s="71"/>
      <c r="V11" s="74"/>
    </row>
    <row r="12" spans="2:22" ht="30.75" customHeight="1" x14ac:dyDescent="0.3">
      <c r="B12" s="18" t="s">
        <v>13</v>
      </c>
      <c r="C12" s="19"/>
      <c r="D12" s="20"/>
      <c r="E12" s="21"/>
      <c r="F12" s="18"/>
      <c r="G12" s="22"/>
      <c r="H12" s="20"/>
      <c r="I12" s="21"/>
      <c r="J12" s="23"/>
      <c r="K12" s="22"/>
      <c r="L12" s="20"/>
      <c r="M12" s="21"/>
      <c r="N12" s="23"/>
      <c r="O12" s="22"/>
      <c r="P12" s="20"/>
      <c r="Q12" s="21"/>
      <c r="R12" s="23"/>
      <c r="S12" s="24">
        <v>0.66666666666666663</v>
      </c>
      <c r="T12" s="20" t="s">
        <v>20</v>
      </c>
      <c r="U12" s="21"/>
      <c r="V12" s="25"/>
    </row>
    <row r="13" spans="2:22" ht="30.75" customHeight="1" thickBot="1" x14ac:dyDescent="0.35">
      <c r="B13" s="35" t="s">
        <v>29</v>
      </c>
      <c r="C13" s="2">
        <f>S5+3</f>
        <v>8</v>
      </c>
      <c r="D13" s="3" t="s">
        <v>6</v>
      </c>
      <c r="E13" s="3" t="s">
        <v>7</v>
      </c>
      <c r="F13" s="4" t="s">
        <v>8</v>
      </c>
      <c r="G13" s="5">
        <f>C13+1</f>
        <v>9</v>
      </c>
      <c r="H13" s="3" t="s">
        <v>6</v>
      </c>
      <c r="I13" s="3" t="s">
        <v>7</v>
      </c>
      <c r="J13" s="6" t="s">
        <v>8</v>
      </c>
      <c r="K13" s="5">
        <f>G13+1</f>
        <v>10</v>
      </c>
      <c r="L13" s="3" t="s">
        <v>6</v>
      </c>
      <c r="M13" s="3" t="s">
        <v>7</v>
      </c>
      <c r="N13" s="6" t="s">
        <v>8</v>
      </c>
      <c r="O13" s="7">
        <f>K13+1</f>
        <v>11</v>
      </c>
      <c r="P13" s="8" t="s">
        <v>6</v>
      </c>
      <c r="Q13" s="3" t="s">
        <v>7</v>
      </c>
      <c r="R13" s="6" t="s">
        <v>8</v>
      </c>
      <c r="S13" s="5">
        <f>O13+1</f>
        <v>12</v>
      </c>
      <c r="T13" s="3" t="s">
        <v>6</v>
      </c>
      <c r="U13" s="3" t="s">
        <v>7</v>
      </c>
      <c r="V13" s="16" t="s">
        <v>8</v>
      </c>
    </row>
    <row r="14" spans="2:22" ht="30.75" customHeight="1" thickTop="1" x14ac:dyDescent="0.3">
      <c r="B14" s="1085" t="s">
        <v>9</v>
      </c>
      <c r="C14" s="36">
        <v>0.40277777777777779</v>
      </c>
      <c r="D14" s="37" t="s">
        <v>33</v>
      </c>
      <c r="E14" s="38"/>
      <c r="F14" s="39"/>
      <c r="G14" s="40">
        <v>0.40277777777777779</v>
      </c>
      <c r="H14" s="37" t="s">
        <v>35</v>
      </c>
      <c r="I14" s="38"/>
      <c r="J14" s="41"/>
      <c r="K14" s="40">
        <v>0.39583333333333331</v>
      </c>
      <c r="L14" s="37" t="s">
        <v>39</v>
      </c>
      <c r="M14" s="38"/>
      <c r="N14" s="41"/>
      <c r="O14" s="40">
        <v>0.375</v>
      </c>
      <c r="P14" s="42" t="s">
        <v>40</v>
      </c>
      <c r="Q14" s="38"/>
      <c r="R14" s="41"/>
      <c r="S14" s="40">
        <v>0.39583333333333331</v>
      </c>
      <c r="T14" s="37" t="s">
        <v>60</v>
      </c>
      <c r="U14" s="38"/>
      <c r="V14" s="43"/>
    </row>
    <row r="15" spans="2:22" ht="30.75" customHeight="1" x14ac:dyDescent="0.3">
      <c r="B15" s="1085"/>
      <c r="C15" s="44"/>
      <c r="D15" s="45"/>
      <c r="E15" s="46"/>
      <c r="F15" s="47"/>
      <c r="G15" s="48"/>
      <c r="H15" s="45"/>
      <c r="I15" s="46"/>
      <c r="J15" s="49"/>
      <c r="K15" s="50"/>
      <c r="L15" s="45"/>
      <c r="M15" s="46"/>
      <c r="N15" s="49"/>
      <c r="O15" s="50">
        <v>0.4375</v>
      </c>
      <c r="P15" s="51" t="s">
        <v>41</v>
      </c>
      <c r="Q15" s="46"/>
      <c r="R15" s="49"/>
      <c r="S15" s="48"/>
      <c r="T15" s="45" t="s">
        <v>63</v>
      </c>
      <c r="U15" s="46"/>
      <c r="V15" s="52"/>
    </row>
    <row r="16" spans="2:22" ht="30.75" customHeight="1" x14ac:dyDescent="0.3">
      <c r="B16" s="1085"/>
      <c r="C16" s="53"/>
      <c r="D16" s="54"/>
      <c r="E16" s="55"/>
      <c r="F16" s="56"/>
      <c r="G16" s="57"/>
      <c r="H16" s="54"/>
      <c r="I16" s="55"/>
      <c r="J16" s="58"/>
      <c r="K16" s="57"/>
      <c r="L16" s="54"/>
      <c r="M16" s="55"/>
      <c r="N16" s="58"/>
      <c r="O16" s="57"/>
      <c r="P16" s="59"/>
      <c r="Q16" s="55"/>
      <c r="R16" s="58"/>
      <c r="S16" s="57"/>
      <c r="T16" s="54"/>
      <c r="U16" s="55"/>
      <c r="V16" s="60"/>
    </row>
    <row r="17" spans="2:22" ht="42" customHeight="1" x14ac:dyDescent="0.3">
      <c r="B17" s="1086"/>
      <c r="C17" s="1084" t="s">
        <v>66</v>
      </c>
      <c r="D17" s="1082"/>
      <c r="E17" s="1082"/>
      <c r="F17" s="1083"/>
      <c r="G17" s="1084" t="s">
        <v>64</v>
      </c>
      <c r="H17" s="1082"/>
      <c r="I17" s="1082"/>
      <c r="J17" s="1083"/>
      <c r="K17" s="1084" t="s">
        <v>67</v>
      </c>
      <c r="L17" s="1082"/>
      <c r="M17" s="1082"/>
      <c r="N17" s="1083"/>
      <c r="O17" s="1084" t="s">
        <v>65</v>
      </c>
      <c r="P17" s="1082"/>
      <c r="Q17" s="1082"/>
      <c r="R17" s="1083"/>
      <c r="S17" s="1081" t="s">
        <v>61</v>
      </c>
      <c r="T17" s="1082"/>
      <c r="U17" s="1082"/>
      <c r="V17" s="1082"/>
    </row>
    <row r="18" spans="2:22" ht="30.75" customHeight="1" x14ac:dyDescent="0.3">
      <c r="B18" s="1079" t="s">
        <v>12</v>
      </c>
      <c r="C18" s="62">
        <v>0.39583333333333331</v>
      </c>
      <c r="D18" s="63" t="s">
        <v>34</v>
      </c>
      <c r="E18" s="64"/>
      <c r="F18" s="61"/>
      <c r="G18" s="65">
        <v>0.375</v>
      </c>
      <c r="H18" s="63" t="s">
        <v>36</v>
      </c>
      <c r="I18" s="64"/>
      <c r="J18" s="66"/>
      <c r="K18" s="65">
        <v>0.41666666666666669</v>
      </c>
      <c r="L18" s="63" t="s">
        <v>38</v>
      </c>
      <c r="M18" s="64"/>
      <c r="N18" s="66"/>
      <c r="O18" s="65">
        <v>0.41666666666666669</v>
      </c>
      <c r="P18" s="63" t="s">
        <v>42</v>
      </c>
      <c r="Q18" s="64"/>
      <c r="R18" s="66"/>
      <c r="S18" s="65">
        <v>0.40277777777777779</v>
      </c>
      <c r="T18" s="63" t="s">
        <v>43</v>
      </c>
      <c r="U18" s="64"/>
      <c r="V18" s="67"/>
    </row>
    <row r="19" spans="2:22" ht="30.75" customHeight="1" x14ac:dyDescent="0.3">
      <c r="B19" s="1080"/>
      <c r="C19" s="69"/>
      <c r="D19" s="70"/>
      <c r="E19" s="71"/>
      <c r="F19" s="68"/>
      <c r="G19" s="72">
        <v>0.4375</v>
      </c>
      <c r="H19" s="70" t="s">
        <v>37</v>
      </c>
      <c r="I19" s="71"/>
      <c r="J19" s="73"/>
      <c r="K19" s="72"/>
      <c r="L19" s="70"/>
      <c r="M19" s="71"/>
      <c r="N19" s="73"/>
      <c r="O19" s="72"/>
      <c r="P19" s="70"/>
      <c r="Q19" s="71"/>
      <c r="R19" s="73"/>
      <c r="S19" s="72"/>
      <c r="T19" s="70"/>
      <c r="U19" s="71"/>
      <c r="V19" s="74"/>
    </row>
    <row r="20" spans="2:22" ht="30.75" customHeight="1" x14ac:dyDescent="0.3">
      <c r="B20" s="9" t="s">
        <v>13</v>
      </c>
      <c r="C20" s="10"/>
      <c r="D20" s="11"/>
      <c r="E20" s="12"/>
      <c r="F20" s="9"/>
      <c r="G20" s="13"/>
      <c r="H20" s="11"/>
      <c r="I20" s="12"/>
      <c r="J20" s="14"/>
      <c r="K20" s="13"/>
      <c r="L20" s="11"/>
      <c r="M20" s="12"/>
      <c r="N20" s="14"/>
      <c r="O20" s="13"/>
      <c r="P20" s="11"/>
      <c r="Q20" s="12"/>
      <c r="R20" s="14"/>
      <c r="S20" s="15"/>
      <c r="T20" s="11"/>
      <c r="U20" s="12"/>
      <c r="V20" s="17"/>
    </row>
    <row r="21" spans="2:22" ht="30.75" customHeight="1" thickBot="1" x14ac:dyDescent="0.35">
      <c r="B21" s="35" t="s">
        <v>30</v>
      </c>
      <c r="C21" s="2">
        <f>S13+3</f>
        <v>15</v>
      </c>
      <c r="D21" s="3" t="s">
        <v>6</v>
      </c>
      <c r="E21" s="3" t="s">
        <v>7</v>
      </c>
      <c r="F21" s="4" t="s">
        <v>8</v>
      </c>
      <c r="G21" s="5">
        <f>C21+1</f>
        <v>16</v>
      </c>
      <c r="H21" s="3" t="s">
        <v>6</v>
      </c>
      <c r="I21" s="3" t="s">
        <v>7</v>
      </c>
      <c r="J21" s="6" t="s">
        <v>8</v>
      </c>
      <c r="K21" s="5">
        <f>G21+1</f>
        <v>17</v>
      </c>
      <c r="L21" s="3" t="s">
        <v>6</v>
      </c>
      <c r="M21" s="3" t="s">
        <v>7</v>
      </c>
      <c r="N21" s="6" t="s">
        <v>8</v>
      </c>
      <c r="O21" s="7">
        <f>K21+1</f>
        <v>18</v>
      </c>
      <c r="P21" s="8" t="s">
        <v>6</v>
      </c>
      <c r="Q21" s="3" t="s">
        <v>7</v>
      </c>
      <c r="R21" s="6" t="s">
        <v>8</v>
      </c>
      <c r="S21" s="5">
        <f>O21+1</f>
        <v>19</v>
      </c>
      <c r="T21" s="3" t="s">
        <v>6</v>
      </c>
      <c r="U21" s="3" t="s">
        <v>7</v>
      </c>
      <c r="V21" s="16" t="s">
        <v>8</v>
      </c>
    </row>
    <row r="22" spans="2:22" ht="30.75" customHeight="1" thickTop="1" x14ac:dyDescent="0.3">
      <c r="B22" s="1085" t="s">
        <v>9</v>
      </c>
      <c r="C22" s="36">
        <v>0.40277777777777779</v>
      </c>
      <c r="D22" s="37" t="s">
        <v>45</v>
      </c>
      <c r="E22" s="38"/>
      <c r="F22" s="39"/>
      <c r="G22" s="40">
        <v>0.375</v>
      </c>
      <c r="H22" s="37" t="s">
        <v>47</v>
      </c>
      <c r="I22" s="38"/>
      <c r="J22" s="41"/>
      <c r="K22" s="40">
        <v>0.39583333333333331</v>
      </c>
      <c r="L22" s="37" t="s">
        <v>49</v>
      </c>
      <c r="M22" s="38"/>
      <c r="N22" s="41"/>
      <c r="O22" s="40">
        <v>0.4375</v>
      </c>
      <c r="P22" s="42" t="s">
        <v>50</v>
      </c>
      <c r="Q22" s="38"/>
      <c r="R22" s="41"/>
      <c r="S22" s="40">
        <v>0.39583333333333331</v>
      </c>
      <c r="T22" s="37" t="s">
        <v>52</v>
      </c>
      <c r="U22" s="38"/>
      <c r="V22" s="43"/>
    </row>
    <row r="23" spans="2:22" ht="30.75" customHeight="1" x14ac:dyDescent="0.3">
      <c r="B23" s="1085"/>
      <c r="C23" s="44"/>
      <c r="D23" s="45"/>
      <c r="E23" s="46"/>
      <c r="F23" s="47"/>
      <c r="G23" s="50">
        <v>0.45833333333333331</v>
      </c>
      <c r="H23" s="45" t="s">
        <v>85</v>
      </c>
      <c r="I23" s="46"/>
      <c r="J23" s="49"/>
      <c r="K23" s="50"/>
      <c r="L23" s="45"/>
      <c r="M23" s="46"/>
      <c r="N23" s="49"/>
      <c r="O23" s="50"/>
      <c r="P23" s="51"/>
      <c r="Q23" s="46"/>
      <c r="R23" s="49"/>
      <c r="S23" s="48"/>
      <c r="T23" s="45"/>
      <c r="U23" s="46"/>
      <c r="V23" s="52"/>
    </row>
    <row r="24" spans="2:22" ht="30.75" customHeight="1" x14ac:dyDescent="0.3">
      <c r="B24" s="1085"/>
      <c r="C24" s="53"/>
      <c r="D24" s="54"/>
      <c r="E24" s="55"/>
      <c r="F24" s="56"/>
      <c r="G24" s="57"/>
      <c r="H24" s="54"/>
      <c r="I24" s="55"/>
      <c r="J24" s="58"/>
      <c r="K24" s="57"/>
      <c r="L24" s="54"/>
      <c r="M24" s="55"/>
      <c r="N24" s="58"/>
      <c r="O24" s="57"/>
      <c r="P24" s="59"/>
      <c r="Q24" s="55"/>
      <c r="R24" s="58"/>
      <c r="S24" s="57"/>
      <c r="T24" s="54"/>
      <c r="U24" s="55"/>
      <c r="V24" s="60"/>
    </row>
    <row r="25" spans="2:22" ht="42" customHeight="1" x14ac:dyDescent="0.3">
      <c r="B25" s="1086"/>
      <c r="C25" s="1084" t="s">
        <v>86</v>
      </c>
      <c r="D25" s="1082"/>
      <c r="E25" s="1082"/>
      <c r="F25" s="1083"/>
      <c r="G25" s="1081" t="s">
        <v>87</v>
      </c>
      <c r="H25" s="1082"/>
      <c r="I25" s="1082"/>
      <c r="J25" s="1083"/>
      <c r="K25" s="1081" t="s">
        <v>81</v>
      </c>
      <c r="L25" s="1082"/>
      <c r="M25" s="1082"/>
      <c r="N25" s="1083"/>
      <c r="O25" s="1081" t="s">
        <v>78</v>
      </c>
      <c r="P25" s="1082"/>
      <c r="Q25" s="1082"/>
      <c r="R25" s="1083"/>
      <c r="S25" s="1081" t="s">
        <v>56</v>
      </c>
      <c r="T25" s="1082"/>
      <c r="U25" s="1082"/>
      <c r="V25" s="1082"/>
    </row>
    <row r="26" spans="2:22" ht="30.75" customHeight="1" x14ac:dyDescent="0.3">
      <c r="B26" s="1079" t="s">
        <v>12</v>
      </c>
      <c r="C26" s="62">
        <v>0.41666666666666669</v>
      </c>
      <c r="D26" s="63" t="s">
        <v>46</v>
      </c>
      <c r="E26" s="64"/>
      <c r="F26" s="61"/>
      <c r="G26" s="65">
        <v>0.40277777777777779</v>
      </c>
      <c r="H26" s="63" t="s">
        <v>48</v>
      </c>
      <c r="I26" s="64"/>
      <c r="J26" s="66"/>
      <c r="K26" s="65">
        <v>0.39583333333333331</v>
      </c>
      <c r="L26" s="63" t="s">
        <v>58</v>
      </c>
      <c r="M26" s="64"/>
      <c r="N26" s="66"/>
      <c r="O26" s="65">
        <v>0.39583333333333331</v>
      </c>
      <c r="P26" s="63" t="s">
        <v>51</v>
      </c>
      <c r="Q26" s="64"/>
      <c r="R26" s="66"/>
      <c r="S26" s="65">
        <v>0.375</v>
      </c>
      <c r="T26" s="63" t="s">
        <v>53</v>
      </c>
      <c r="U26" s="64"/>
      <c r="V26" s="67"/>
    </row>
    <row r="27" spans="2:22" ht="30.75" customHeight="1" x14ac:dyDescent="0.3">
      <c r="B27" s="1080"/>
      <c r="C27" s="69"/>
      <c r="D27" s="70"/>
      <c r="E27" s="71"/>
      <c r="F27" s="68"/>
      <c r="G27" s="72"/>
      <c r="H27" s="70"/>
      <c r="I27" s="71"/>
      <c r="J27" s="73"/>
      <c r="K27" s="72"/>
      <c r="L27" s="70"/>
      <c r="M27" s="71"/>
      <c r="N27" s="73"/>
      <c r="O27" s="72"/>
      <c r="P27" s="70"/>
      <c r="Q27" s="71"/>
      <c r="R27" s="73"/>
      <c r="S27" s="72">
        <v>0.4375</v>
      </c>
      <c r="T27" s="70" t="s">
        <v>54</v>
      </c>
      <c r="U27" s="71"/>
      <c r="V27" s="74"/>
    </row>
    <row r="28" spans="2:22" ht="30.75" customHeight="1" x14ac:dyDescent="0.3">
      <c r="B28" s="9" t="s">
        <v>13</v>
      </c>
      <c r="C28" s="10"/>
      <c r="D28" s="11"/>
      <c r="E28" s="12"/>
      <c r="F28" s="9"/>
      <c r="G28" s="13"/>
      <c r="H28" s="11"/>
      <c r="I28" s="12"/>
      <c r="J28" s="14"/>
      <c r="K28" s="13"/>
      <c r="L28" s="11"/>
      <c r="M28" s="12"/>
      <c r="N28" s="14"/>
      <c r="O28" s="13"/>
      <c r="P28" s="11"/>
      <c r="Q28" s="12"/>
      <c r="R28" s="14"/>
      <c r="S28" s="15"/>
      <c r="T28" s="11"/>
      <c r="U28" s="12"/>
      <c r="V28" s="17"/>
    </row>
    <row r="29" spans="2:22" ht="30.75" customHeight="1" thickBot="1" x14ac:dyDescent="0.35">
      <c r="B29" s="35" t="s">
        <v>31</v>
      </c>
      <c r="C29" s="2">
        <f>S21+3</f>
        <v>22</v>
      </c>
      <c r="D29" s="3" t="s">
        <v>6</v>
      </c>
      <c r="E29" s="3" t="s">
        <v>7</v>
      </c>
      <c r="F29" s="4" t="s">
        <v>8</v>
      </c>
      <c r="G29" s="5">
        <f>C29+1</f>
        <v>23</v>
      </c>
      <c r="H29" s="3" t="s">
        <v>6</v>
      </c>
      <c r="I29" s="3" t="s">
        <v>7</v>
      </c>
      <c r="J29" s="6" t="s">
        <v>8</v>
      </c>
      <c r="K29" s="5">
        <f>G29+1</f>
        <v>24</v>
      </c>
      <c r="L29" s="3" t="s">
        <v>6</v>
      </c>
      <c r="M29" s="3" t="s">
        <v>7</v>
      </c>
      <c r="N29" s="6" t="s">
        <v>8</v>
      </c>
      <c r="O29" s="130">
        <f>K29+1</f>
        <v>25</v>
      </c>
      <c r="P29" s="83" t="s">
        <v>6</v>
      </c>
      <c r="Q29" s="83" t="s">
        <v>7</v>
      </c>
      <c r="R29" s="84" t="s">
        <v>8</v>
      </c>
      <c r="S29" s="5">
        <f>O29+1</f>
        <v>26</v>
      </c>
      <c r="T29" s="3" t="s">
        <v>6</v>
      </c>
      <c r="U29" s="3" t="s">
        <v>7</v>
      </c>
      <c r="V29" s="16" t="s">
        <v>8</v>
      </c>
    </row>
    <row r="30" spans="2:22" ht="30.75" customHeight="1" thickTop="1" x14ac:dyDescent="0.3">
      <c r="B30" s="1085" t="s">
        <v>9</v>
      </c>
      <c r="C30" s="36"/>
      <c r="D30" s="37"/>
      <c r="E30" s="38"/>
      <c r="F30" s="39"/>
      <c r="G30" s="40">
        <v>0.375</v>
      </c>
      <c r="H30" s="37" t="s">
        <v>55</v>
      </c>
      <c r="I30" s="38"/>
      <c r="J30" s="41"/>
      <c r="K30" s="40">
        <v>0.39583333333333331</v>
      </c>
      <c r="L30" s="37" t="s">
        <v>58</v>
      </c>
      <c r="M30" s="38"/>
      <c r="N30" s="41"/>
      <c r="O30" s="85"/>
      <c r="P30" s="86"/>
      <c r="Q30" s="87"/>
      <c r="R30" s="88"/>
      <c r="S30" s="40"/>
      <c r="T30" s="37"/>
      <c r="U30" s="38"/>
      <c r="V30" s="43"/>
    </row>
    <row r="31" spans="2:22" ht="30.75" customHeight="1" x14ac:dyDescent="0.3">
      <c r="B31" s="1085"/>
      <c r="C31" s="44"/>
      <c r="D31" s="45"/>
      <c r="E31" s="46"/>
      <c r="F31" s="47"/>
      <c r="G31" s="50">
        <v>0.4375</v>
      </c>
      <c r="H31" s="82" t="s">
        <v>57</v>
      </c>
      <c r="I31" s="46"/>
      <c r="J31" s="49"/>
      <c r="K31" s="50"/>
      <c r="L31" s="45" t="s">
        <v>75</v>
      </c>
      <c r="M31" s="46"/>
      <c r="N31" s="49"/>
      <c r="O31" s="89"/>
      <c r="P31" s="90"/>
      <c r="Q31" s="91"/>
      <c r="R31" s="92"/>
      <c r="S31" s="48"/>
      <c r="T31" s="45"/>
      <c r="U31" s="46"/>
      <c r="V31" s="52"/>
    </row>
    <row r="32" spans="2:22" ht="30.75" customHeight="1" x14ac:dyDescent="0.3">
      <c r="B32" s="1085"/>
      <c r="C32" s="1095" t="s">
        <v>62</v>
      </c>
      <c r="D32" s="1096"/>
      <c r="E32" s="1096"/>
      <c r="F32" s="1096"/>
      <c r="G32" s="1096"/>
      <c r="H32" s="1096"/>
      <c r="I32" s="1096"/>
      <c r="J32" s="1097"/>
      <c r="K32" s="57"/>
      <c r="L32" s="54"/>
      <c r="M32" s="55"/>
      <c r="N32" s="58"/>
      <c r="O32" s="93"/>
      <c r="P32" s="94"/>
      <c r="Q32" s="95"/>
      <c r="R32" s="96"/>
      <c r="S32" s="57"/>
      <c r="T32" s="54"/>
      <c r="U32" s="55"/>
      <c r="V32" s="60"/>
    </row>
    <row r="33" spans="2:22" ht="42" customHeight="1" x14ac:dyDescent="0.3">
      <c r="B33" s="1086"/>
      <c r="C33" s="1092" t="s">
        <v>59</v>
      </c>
      <c r="D33" s="1093"/>
      <c r="E33" s="1093"/>
      <c r="F33" s="1094"/>
      <c r="G33" s="1081"/>
      <c r="H33" s="1082"/>
      <c r="I33" s="1082"/>
      <c r="J33" s="1083"/>
      <c r="K33" s="1081"/>
      <c r="L33" s="1082"/>
      <c r="M33" s="1082"/>
      <c r="N33" s="1083"/>
      <c r="O33" s="1089"/>
      <c r="P33" s="1090"/>
      <c r="Q33" s="1090"/>
      <c r="R33" s="1091"/>
      <c r="S33" s="1081"/>
      <c r="T33" s="1082"/>
      <c r="U33" s="1082"/>
      <c r="V33" s="1082"/>
    </row>
    <row r="34" spans="2:22" ht="30.75" customHeight="1" x14ac:dyDescent="0.3">
      <c r="B34" s="1079" t="s">
        <v>12</v>
      </c>
      <c r="C34" s="62"/>
      <c r="D34" s="63"/>
      <c r="E34" s="64"/>
      <c r="F34" s="61"/>
      <c r="G34" s="65"/>
      <c r="H34" s="63"/>
      <c r="I34" s="64"/>
      <c r="J34" s="66"/>
      <c r="K34" s="65"/>
      <c r="L34" s="63"/>
      <c r="M34" s="64"/>
      <c r="N34" s="66"/>
      <c r="O34" s="97"/>
      <c r="P34" s="98"/>
      <c r="Q34" s="99"/>
      <c r="R34" s="100"/>
      <c r="S34" s="65"/>
      <c r="T34" s="63"/>
      <c r="U34" s="64"/>
      <c r="V34" s="67"/>
    </row>
    <row r="35" spans="2:22" ht="30.75" customHeight="1" x14ac:dyDescent="0.3">
      <c r="B35" s="1080"/>
      <c r="C35" s="69"/>
      <c r="D35" s="70"/>
      <c r="E35" s="71"/>
      <c r="F35" s="68"/>
      <c r="G35" s="72"/>
      <c r="H35" s="70"/>
      <c r="I35" s="71"/>
      <c r="J35" s="73"/>
      <c r="K35" s="72"/>
      <c r="L35" s="70"/>
      <c r="M35" s="71"/>
      <c r="N35" s="73"/>
      <c r="O35" s="101"/>
      <c r="P35" s="102"/>
      <c r="Q35" s="103"/>
      <c r="R35" s="104"/>
      <c r="S35" s="72"/>
      <c r="T35" s="70"/>
      <c r="U35" s="71"/>
      <c r="V35" s="74"/>
    </row>
    <row r="36" spans="2:22" ht="30.75" customHeight="1" x14ac:dyDescent="0.3">
      <c r="B36" s="9" t="s">
        <v>13</v>
      </c>
      <c r="C36" s="10"/>
      <c r="D36" s="11"/>
      <c r="E36" s="12"/>
      <c r="F36" s="9"/>
      <c r="G36" s="13"/>
      <c r="H36" s="11"/>
      <c r="I36" s="12"/>
      <c r="J36" s="14"/>
      <c r="K36" s="13"/>
      <c r="L36" s="11"/>
      <c r="M36" s="12"/>
      <c r="N36" s="14"/>
      <c r="O36" s="105"/>
      <c r="P36" s="106"/>
      <c r="Q36" s="107"/>
      <c r="R36" s="108"/>
      <c r="S36" s="15"/>
      <c r="T36" s="11"/>
      <c r="U36" s="12"/>
      <c r="V36" s="17"/>
    </row>
    <row r="37" spans="2:22" ht="30.75" customHeight="1" thickBot="1" x14ac:dyDescent="0.35">
      <c r="B37" s="35" t="s">
        <v>32</v>
      </c>
      <c r="C37" s="2">
        <f>S29+3</f>
        <v>29</v>
      </c>
      <c r="D37" s="3" t="s">
        <v>6</v>
      </c>
      <c r="E37" s="3" t="s">
        <v>7</v>
      </c>
      <c r="F37" s="4" t="s">
        <v>8</v>
      </c>
      <c r="G37" s="5">
        <f>C37+1</f>
        <v>30</v>
      </c>
      <c r="H37" s="3" t="s">
        <v>6</v>
      </c>
      <c r="I37" s="3" t="s">
        <v>7</v>
      </c>
      <c r="J37" s="6" t="s">
        <v>8</v>
      </c>
      <c r="K37" s="5">
        <f>G37+1</f>
        <v>31</v>
      </c>
      <c r="L37" s="3" t="s">
        <v>6</v>
      </c>
      <c r="M37" s="3" t="s">
        <v>7</v>
      </c>
      <c r="N37" s="6" t="s">
        <v>8</v>
      </c>
      <c r="O37" s="109"/>
      <c r="P37" s="110"/>
      <c r="Q37" s="111"/>
      <c r="R37" s="112"/>
      <c r="S37" s="113"/>
      <c r="T37" s="111"/>
      <c r="U37" s="111"/>
      <c r="V37" s="114"/>
    </row>
    <row r="38" spans="2:22" ht="30.75" customHeight="1" thickTop="1" x14ac:dyDescent="0.3">
      <c r="B38" s="1085" t="s">
        <v>9</v>
      </c>
      <c r="C38" s="36"/>
      <c r="D38" s="37"/>
      <c r="E38" s="38"/>
      <c r="F38" s="39"/>
      <c r="G38" s="40"/>
      <c r="H38" s="37"/>
      <c r="I38" s="38"/>
      <c r="J38" s="41"/>
      <c r="K38" s="40"/>
      <c r="L38" s="37"/>
      <c r="M38" s="38"/>
      <c r="N38" s="41"/>
      <c r="O38" s="85"/>
      <c r="P38" s="86"/>
      <c r="Q38" s="87"/>
      <c r="R38" s="88"/>
      <c r="S38" s="85"/>
      <c r="T38" s="115"/>
      <c r="U38" s="87"/>
      <c r="V38" s="116"/>
    </row>
    <row r="39" spans="2:22" ht="30.75" customHeight="1" x14ac:dyDescent="0.3">
      <c r="B39" s="1085"/>
      <c r="C39" s="44"/>
      <c r="D39" s="45"/>
      <c r="E39" s="46"/>
      <c r="F39" s="47"/>
      <c r="G39" s="48"/>
      <c r="H39" s="45"/>
      <c r="I39" s="46"/>
      <c r="J39" s="49"/>
      <c r="K39" s="50"/>
      <c r="L39" s="45"/>
      <c r="M39" s="46"/>
      <c r="N39" s="49"/>
      <c r="O39" s="89"/>
      <c r="P39" s="90"/>
      <c r="Q39" s="91"/>
      <c r="R39" s="92"/>
      <c r="S39" s="117"/>
      <c r="T39" s="118"/>
      <c r="U39" s="91"/>
      <c r="V39" s="119"/>
    </row>
    <row r="40" spans="2:22" ht="30.75" customHeight="1" x14ac:dyDescent="0.3">
      <c r="B40" s="1085"/>
      <c r="C40" s="53"/>
      <c r="D40" s="54"/>
      <c r="E40" s="55"/>
      <c r="F40" s="56"/>
      <c r="G40" s="57"/>
      <c r="H40" s="54"/>
      <c r="I40" s="55"/>
      <c r="J40" s="58"/>
      <c r="K40" s="57"/>
      <c r="L40" s="54"/>
      <c r="M40" s="55"/>
      <c r="N40" s="58"/>
      <c r="O40" s="93"/>
      <c r="P40" s="94"/>
      <c r="Q40" s="95"/>
      <c r="R40" s="96"/>
      <c r="S40" s="93"/>
      <c r="T40" s="120"/>
      <c r="U40" s="95"/>
      <c r="V40" s="121"/>
    </row>
    <row r="41" spans="2:22" ht="42" customHeight="1" x14ac:dyDescent="0.3">
      <c r="B41" s="1086"/>
      <c r="C41" s="1084"/>
      <c r="D41" s="1082"/>
      <c r="E41" s="1082"/>
      <c r="F41" s="1083"/>
      <c r="G41" s="1081"/>
      <c r="H41" s="1082"/>
      <c r="I41" s="1082"/>
      <c r="J41" s="1083"/>
      <c r="K41" s="1081" t="s">
        <v>92</v>
      </c>
      <c r="L41" s="1082"/>
      <c r="M41" s="1082"/>
      <c r="N41" s="1083"/>
      <c r="O41" s="1089"/>
      <c r="P41" s="1090"/>
      <c r="Q41" s="1090"/>
      <c r="R41" s="1091"/>
      <c r="S41" s="1089"/>
      <c r="T41" s="1090"/>
      <c r="U41" s="1090"/>
      <c r="V41" s="1090"/>
    </row>
    <row r="42" spans="2:22" ht="30.75" customHeight="1" x14ac:dyDescent="0.3">
      <c r="B42" s="1079" t="s">
        <v>12</v>
      </c>
      <c r="C42" s="62"/>
      <c r="D42" s="63"/>
      <c r="E42" s="64"/>
      <c r="F42" s="61"/>
      <c r="G42" s="65"/>
      <c r="H42" s="63"/>
      <c r="I42" s="64"/>
      <c r="J42" s="66"/>
      <c r="K42" s="65"/>
      <c r="L42" s="63"/>
      <c r="M42" s="64"/>
      <c r="N42" s="66"/>
      <c r="O42" s="97"/>
      <c r="P42" s="98"/>
      <c r="Q42" s="99"/>
      <c r="R42" s="100"/>
      <c r="S42" s="97"/>
      <c r="T42" s="98"/>
      <c r="U42" s="99"/>
      <c r="V42" s="122"/>
    </row>
    <row r="43" spans="2:22" ht="30.75" customHeight="1" x14ac:dyDescent="0.3">
      <c r="B43" s="1080"/>
      <c r="C43" s="69"/>
      <c r="D43" s="70"/>
      <c r="E43" s="71"/>
      <c r="F43" s="68"/>
      <c r="G43" s="72"/>
      <c r="H43" s="70"/>
      <c r="I43" s="71"/>
      <c r="J43" s="73"/>
      <c r="K43" s="72"/>
      <c r="L43" s="70"/>
      <c r="M43" s="71"/>
      <c r="N43" s="73"/>
      <c r="O43" s="101"/>
      <c r="P43" s="102"/>
      <c r="Q43" s="103"/>
      <c r="R43" s="104"/>
      <c r="S43" s="101"/>
      <c r="T43" s="102"/>
      <c r="U43" s="103"/>
      <c r="V43" s="123"/>
    </row>
    <row r="44" spans="2:22" ht="30.75" customHeight="1" x14ac:dyDescent="0.3">
      <c r="B44" s="9" t="s">
        <v>13</v>
      </c>
      <c r="C44" s="10"/>
      <c r="D44" s="11"/>
      <c r="E44" s="12"/>
      <c r="F44" s="9"/>
      <c r="G44" s="13"/>
      <c r="H44" s="11"/>
      <c r="I44" s="12"/>
      <c r="J44" s="14"/>
      <c r="K44" s="13"/>
      <c r="L44" s="11"/>
      <c r="M44" s="12"/>
      <c r="N44" s="14"/>
      <c r="O44" s="124"/>
      <c r="P44" s="125"/>
      <c r="Q44" s="126"/>
      <c r="R44" s="127"/>
      <c r="S44" s="128"/>
      <c r="T44" s="125"/>
      <c r="U44" s="126"/>
      <c r="V44" s="129"/>
    </row>
  </sheetData>
  <mergeCells count="41">
    <mergeCell ref="B34:B35"/>
    <mergeCell ref="B42:B43"/>
    <mergeCell ref="S33:V33"/>
    <mergeCell ref="B38:B41"/>
    <mergeCell ref="C41:F41"/>
    <mergeCell ref="G41:J41"/>
    <mergeCell ref="K41:N41"/>
    <mergeCell ref="O41:R41"/>
    <mergeCell ref="S41:V41"/>
    <mergeCell ref="B30:B33"/>
    <mergeCell ref="C33:F33"/>
    <mergeCell ref="G33:J33"/>
    <mergeCell ref="K33:N33"/>
    <mergeCell ref="O33:R33"/>
    <mergeCell ref="C32:J32"/>
    <mergeCell ref="G25:J25"/>
    <mergeCell ref="K25:N25"/>
    <mergeCell ref="O25:R25"/>
    <mergeCell ref="S25:V25"/>
    <mergeCell ref="B26:B27"/>
    <mergeCell ref="B22:B25"/>
    <mergeCell ref="C25:F25"/>
    <mergeCell ref="B18:B19"/>
    <mergeCell ref="S9:V9"/>
    <mergeCell ref="O9:R9"/>
    <mergeCell ref="K9:N9"/>
    <mergeCell ref="G9:J9"/>
    <mergeCell ref="C9:F9"/>
    <mergeCell ref="K17:N17"/>
    <mergeCell ref="O17:R17"/>
    <mergeCell ref="S17:V17"/>
    <mergeCell ref="B6:B9"/>
    <mergeCell ref="B14:B17"/>
    <mergeCell ref="C17:F17"/>
    <mergeCell ref="G17:J17"/>
    <mergeCell ref="B10:B11"/>
    <mergeCell ref="C4:F4"/>
    <mergeCell ref="G4:J4"/>
    <mergeCell ref="K4:N4"/>
    <mergeCell ref="O4:R4"/>
    <mergeCell ref="S4:V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44"/>
  <sheetViews>
    <sheetView showGridLines="0" topLeftCell="A6" zoomScale="55" zoomScaleNormal="55" workbookViewId="0">
      <selection activeCell="D19" sqref="D19"/>
    </sheetView>
  </sheetViews>
  <sheetFormatPr defaultRowHeight="30.75" customHeight="1" x14ac:dyDescent="0.3"/>
  <cols>
    <col min="1" max="1" width="4.125" style="1" customWidth="1"/>
    <col min="2" max="2" width="14" style="1" customWidth="1"/>
    <col min="3" max="3" width="8.375" style="1" customWidth="1"/>
    <col min="4" max="4" width="25.375" style="1" customWidth="1"/>
    <col min="5" max="6" width="9.125" style="1" customWidth="1"/>
    <col min="7" max="7" width="7.75" style="1" customWidth="1"/>
    <col min="8" max="8" width="25.375" style="1" customWidth="1"/>
    <col min="9" max="10" width="9.125" style="1" customWidth="1"/>
    <col min="11" max="11" width="7.75" style="1" customWidth="1"/>
    <col min="12" max="12" width="25.375" style="1" customWidth="1"/>
    <col min="13" max="14" width="9.125" style="1" customWidth="1"/>
    <col min="15" max="15" width="7.75" style="1" customWidth="1"/>
    <col min="16" max="16" width="25.375" style="1" customWidth="1"/>
    <col min="17" max="18" width="9.125" style="1" customWidth="1"/>
    <col min="19" max="19" width="7.75" style="1" customWidth="1"/>
    <col min="20" max="20" width="25.375" style="1" customWidth="1"/>
    <col min="21" max="22" width="9.125" style="1" customWidth="1"/>
    <col min="23" max="23" width="4.125" style="1" customWidth="1"/>
    <col min="24" max="16384" width="9" style="1"/>
  </cols>
  <sheetData>
    <row r="1" spans="2:22" ht="30.75" customHeight="1" x14ac:dyDescent="0.3">
      <c r="B1" s="207" t="s">
        <v>105</v>
      </c>
      <c r="U1" s="249"/>
      <c r="V1" s="249" t="s">
        <v>98</v>
      </c>
    </row>
    <row r="2" spans="2:22" ht="96" customHeight="1" thickBot="1" x14ac:dyDescent="0.35">
      <c r="B2" s="132" t="s">
        <v>68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</row>
    <row r="3" spans="2:22" ht="30.75" customHeight="1" thickTop="1" x14ac:dyDescent="0.3"/>
    <row r="4" spans="2:22" ht="30.75" customHeight="1" thickBot="1" x14ac:dyDescent="0.35">
      <c r="B4" s="4" t="s">
        <v>0</v>
      </c>
      <c r="C4" s="1077" t="s">
        <v>1</v>
      </c>
      <c r="D4" s="1077"/>
      <c r="E4" s="1077"/>
      <c r="F4" s="1077"/>
      <c r="G4" s="1077" t="s">
        <v>2</v>
      </c>
      <c r="H4" s="1077"/>
      <c r="I4" s="1077"/>
      <c r="J4" s="1077"/>
      <c r="K4" s="1077" t="s">
        <v>3</v>
      </c>
      <c r="L4" s="1077"/>
      <c r="M4" s="1077"/>
      <c r="N4" s="1077"/>
      <c r="O4" s="1077" t="s">
        <v>4</v>
      </c>
      <c r="P4" s="1077"/>
      <c r="Q4" s="1077"/>
      <c r="R4" s="1077"/>
      <c r="S4" s="1077" t="s">
        <v>5</v>
      </c>
      <c r="T4" s="1077"/>
      <c r="U4" s="1077"/>
      <c r="V4" s="1078"/>
    </row>
    <row r="5" spans="2:22" ht="30.75" customHeight="1" thickTop="1" x14ac:dyDescent="0.3">
      <c r="B5" s="34" t="s">
        <v>28</v>
      </c>
      <c r="C5" s="136"/>
      <c r="D5" s="133" t="s">
        <v>6</v>
      </c>
      <c r="E5" s="133" t="s">
        <v>7</v>
      </c>
      <c r="F5" s="134" t="s">
        <v>8</v>
      </c>
      <c r="G5" s="137"/>
      <c r="H5" s="133" t="s">
        <v>6</v>
      </c>
      <c r="I5" s="133" t="s">
        <v>7</v>
      </c>
      <c r="J5" s="135" t="s">
        <v>8</v>
      </c>
      <c r="K5" s="137"/>
      <c r="L5" s="133" t="s">
        <v>6</v>
      </c>
      <c r="M5" s="133" t="s">
        <v>7</v>
      </c>
      <c r="N5" s="135" t="s">
        <v>8</v>
      </c>
      <c r="O5" s="31">
        <v>1</v>
      </c>
      <c r="P5" s="32" t="s">
        <v>6</v>
      </c>
      <c r="Q5" s="28" t="s">
        <v>7</v>
      </c>
      <c r="R5" s="30" t="s">
        <v>8</v>
      </c>
      <c r="S5" s="29">
        <f>O5+1</f>
        <v>2</v>
      </c>
      <c r="T5" s="28" t="s">
        <v>6</v>
      </c>
      <c r="U5" s="28" t="s">
        <v>7</v>
      </c>
      <c r="V5" s="33" t="s">
        <v>8</v>
      </c>
    </row>
    <row r="6" spans="2:22" ht="30.75" customHeight="1" x14ac:dyDescent="0.3">
      <c r="B6" s="1085" t="s">
        <v>9</v>
      </c>
      <c r="C6" s="138"/>
      <c r="D6" s="139"/>
      <c r="E6" s="140"/>
      <c r="F6" s="141"/>
      <c r="G6" s="142"/>
      <c r="H6" s="139"/>
      <c r="I6" s="140"/>
      <c r="J6" s="143"/>
      <c r="K6" s="142"/>
      <c r="L6" s="139"/>
      <c r="M6" s="140"/>
      <c r="N6" s="143"/>
      <c r="O6" s="175"/>
      <c r="P6" s="176"/>
      <c r="Q6" s="177"/>
      <c r="R6" s="178"/>
      <c r="S6" s="40">
        <v>0.39583333333333331</v>
      </c>
      <c r="T6" s="37" t="s">
        <v>104</v>
      </c>
      <c r="U6" s="38"/>
      <c r="V6" s="43"/>
    </row>
    <row r="7" spans="2:22" ht="30.75" customHeight="1" x14ac:dyDescent="0.3">
      <c r="B7" s="1085"/>
      <c r="C7" s="144"/>
      <c r="D7" s="145"/>
      <c r="E7" s="146"/>
      <c r="F7" s="147"/>
      <c r="G7" s="148"/>
      <c r="H7" s="145"/>
      <c r="I7" s="146"/>
      <c r="J7" s="149"/>
      <c r="K7" s="150"/>
      <c r="L7" s="145"/>
      <c r="M7" s="146"/>
      <c r="N7" s="149"/>
      <c r="O7" s="179"/>
      <c r="P7" s="180"/>
      <c r="Q7" s="181"/>
      <c r="R7" s="182"/>
      <c r="S7" s="261">
        <v>0.4375</v>
      </c>
      <c r="T7" s="262" t="s">
        <v>123</v>
      </c>
      <c r="U7" s="263"/>
      <c r="V7" s="264"/>
    </row>
    <row r="8" spans="2:22" ht="30.75" customHeight="1" x14ac:dyDescent="0.3">
      <c r="B8" s="1085"/>
      <c r="C8" s="151"/>
      <c r="D8" s="152"/>
      <c r="E8" s="153"/>
      <c r="F8" s="154"/>
      <c r="G8" s="155"/>
      <c r="H8" s="152"/>
      <c r="I8" s="153"/>
      <c r="J8" s="156"/>
      <c r="K8" s="155"/>
      <c r="L8" s="152"/>
      <c r="M8" s="153"/>
      <c r="N8" s="156"/>
      <c r="O8" s="183"/>
      <c r="P8" s="184"/>
      <c r="Q8" s="185"/>
      <c r="R8" s="186"/>
      <c r="S8" s="57"/>
      <c r="T8" s="54"/>
      <c r="U8" s="55"/>
      <c r="V8" s="60"/>
    </row>
    <row r="9" spans="2:22" ht="42" customHeight="1" x14ac:dyDescent="0.3">
      <c r="B9" s="1086"/>
      <c r="C9" s="1114"/>
      <c r="D9" s="1115"/>
      <c r="E9" s="1115"/>
      <c r="F9" s="1116"/>
      <c r="G9" s="1117"/>
      <c r="H9" s="1115"/>
      <c r="I9" s="1115"/>
      <c r="J9" s="1116"/>
      <c r="K9" s="1117"/>
      <c r="L9" s="1115"/>
      <c r="M9" s="1115"/>
      <c r="N9" s="1116"/>
      <c r="O9" s="1118"/>
      <c r="P9" s="1119"/>
      <c r="Q9" s="1119"/>
      <c r="R9" s="1120"/>
      <c r="S9" s="1108" t="s">
        <v>127</v>
      </c>
      <c r="T9" s="1103"/>
      <c r="U9" s="1103"/>
      <c r="V9" s="1103"/>
    </row>
    <row r="10" spans="2:22" ht="30.75" customHeight="1" x14ac:dyDescent="0.3">
      <c r="B10" s="1087" t="s">
        <v>12</v>
      </c>
      <c r="C10" s="157"/>
      <c r="D10" s="158"/>
      <c r="E10" s="159"/>
      <c r="F10" s="160"/>
      <c r="G10" s="161"/>
      <c r="H10" s="158"/>
      <c r="I10" s="159"/>
      <c r="J10" s="162"/>
      <c r="K10" s="161"/>
      <c r="L10" s="158"/>
      <c r="M10" s="159"/>
      <c r="N10" s="162"/>
      <c r="O10" s="187"/>
      <c r="P10" s="188"/>
      <c r="Q10" s="189"/>
      <c r="R10" s="190"/>
      <c r="S10" s="79">
        <v>0.375</v>
      </c>
      <c r="T10" s="77" t="s">
        <v>122</v>
      </c>
      <c r="U10" s="78"/>
      <c r="V10" s="81"/>
    </row>
    <row r="11" spans="2:22" ht="30.75" customHeight="1" x14ac:dyDescent="0.3">
      <c r="B11" s="1088"/>
      <c r="C11" s="163"/>
      <c r="D11" s="164"/>
      <c r="E11" s="165"/>
      <c r="F11" s="166"/>
      <c r="G11" s="167"/>
      <c r="H11" s="164"/>
      <c r="I11" s="165"/>
      <c r="J11" s="168"/>
      <c r="K11" s="167"/>
      <c r="L11" s="164"/>
      <c r="M11" s="165"/>
      <c r="N11" s="168"/>
      <c r="O11" s="191"/>
      <c r="P11" s="192"/>
      <c r="Q11" s="193"/>
      <c r="R11" s="194"/>
      <c r="S11" s="253">
        <v>0.45833333333333331</v>
      </c>
      <c r="T11" s="251" t="s">
        <v>110</v>
      </c>
      <c r="U11" s="252"/>
      <c r="V11" s="254"/>
    </row>
    <row r="12" spans="2:22" ht="30.75" customHeight="1" x14ac:dyDescent="0.3">
      <c r="B12" s="18" t="s">
        <v>13</v>
      </c>
      <c r="C12" s="169"/>
      <c r="D12" s="170"/>
      <c r="E12" s="171"/>
      <c r="F12" s="172"/>
      <c r="G12" s="173"/>
      <c r="H12" s="170"/>
      <c r="I12" s="171"/>
      <c r="J12" s="174"/>
      <c r="K12" s="173"/>
      <c r="L12" s="170"/>
      <c r="M12" s="171"/>
      <c r="N12" s="174"/>
      <c r="O12" s="195"/>
      <c r="P12" s="196"/>
      <c r="Q12" s="197"/>
      <c r="R12" s="198"/>
      <c r="S12" s="24"/>
      <c r="T12" s="20"/>
      <c r="U12" s="21"/>
      <c r="V12" s="25"/>
    </row>
    <row r="13" spans="2:22" ht="30.75" customHeight="1" thickBot="1" x14ac:dyDescent="0.35">
      <c r="B13" s="35" t="s">
        <v>29</v>
      </c>
      <c r="C13" s="2">
        <f>S5+3</f>
        <v>5</v>
      </c>
      <c r="D13" s="3" t="s">
        <v>6</v>
      </c>
      <c r="E13" s="3" t="s">
        <v>7</v>
      </c>
      <c r="F13" s="4" t="s">
        <v>8</v>
      </c>
      <c r="G13" s="5">
        <f>C13+1</f>
        <v>6</v>
      </c>
      <c r="H13" s="3" t="s">
        <v>6</v>
      </c>
      <c r="I13" s="3" t="s">
        <v>7</v>
      </c>
      <c r="J13" s="6" t="s">
        <v>8</v>
      </c>
      <c r="K13" s="5">
        <f>G13+1</f>
        <v>7</v>
      </c>
      <c r="L13" s="3" t="s">
        <v>6</v>
      </c>
      <c r="M13" s="3" t="s">
        <v>7</v>
      </c>
      <c r="N13" s="6" t="s">
        <v>8</v>
      </c>
      <c r="O13" s="7">
        <f>K13+1</f>
        <v>8</v>
      </c>
      <c r="P13" s="8" t="s">
        <v>6</v>
      </c>
      <c r="Q13" s="3" t="s">
        <v>7</v>
      </c>
      <c r="R13" s="6" t="s">
        <v>8</v>
      </c>
      <c r="S13" s="5">
        <f>O13+1</f>
        <v>9</v>
      </c>
      <c r="T13" s="3" t="s">
        <v>6</v>
      </c>
      <c r="U13" s="3" t="s">
        <v>7</v>
      </c>
      <c r="V13" s="16" t="s">
        <v>8</v>
      </c>
    </row>
    <row r="14" spans="2:22" ht="30.75" customHeight="1" thickTop="1" x14ac:dyDescent="0.3">
      <c r="B14" s="1085" t="s">
        <v>9</v>
      </c>
      <c r="C14" s="257">
        <v>0.41666666666666669</v>
      </c>
      <c r="D14" s="37" t="s">
        <v>97</v>
      </c>
      <c r="E14" s="38"/>
      <c r="F14" s="39"/>
      <c r="G14" s="40">
        <v>0.39583333333333331</v>
      </c>
      <c r="H14" s="37" t="s">
        <v>33</v>
      </c>
      <c r="I14" s="38"/>
      <c r="J14" s="41"/>
      <c r="K14" s="40">
        <v>0.39583333333333331</v>
      </c>
      <c r="L14" s="37" t="s">
        <v>11</v>
      </c>
      <c r="M14" s="38"/>
      <c r="N14" s="41"/>
      <c r="O14" s="40">
        <v>0.41666666666666669</v>
      </c>
      <c r="P14" s="42" t="s">
        <v>69</v>
      </c>
      <c r="Q14" s="38"/>
      <c r="R14" s="41"/>
      <c r="S14" s="40">
        <v>0.39583333333333331</v>
      </c>
      <c r="T14" s="37" t="s">
        <v>70</v>
      </c>
      <c r="U14" s="38"/>
      <c r="V14" s="43"/>
    </row>
    <row r="15" spans="2:22" ht="30.75" customHeight="1" x14ac:dyDescent="0.3">
      <c r="B15" s="1085"/>
      <c r="C15" s="44"/>
      <c r="D15" s="250" t="s">
        <v>99</v>
      </c>
      <c r="E15" s="46"/>
      <c r="F15" s="47"/>
      <c r="G15" s="259">
        <v>0.45833333333333331</v>
      </c>
      <c r="H15" s="260" t="s">
        <v>132</v>
      </c>
      <c r="I15" s="46"/>
      <c r="J15" s="49"/>
      <c r="K15" s="50">
        <v>0.45833333333333331</v>
      </c>
      <c r="L15" s="45" t="s">
        <v>101</v>
      </c>
      <c r="M15" s="46"/>
      <c r="N15" s="49"/>
      <c r="O15" s="50">
        <v>0.45833333333333331</v>
      </c>
      <c r="P15" s="51" t="s">
        <v>85</v>
      </c>
      <c r="Q15" s="46"/>
      <c r="R15" s="49"/>
      <c r="S15" s="50"/>
      <c r="T15" s="45" t="s">
        <v>142</v>
      </c>
      <c r="U15" s="46"/>
      <c r="V15" s="52"/>
    </row>
    <row r="16" spans="2:22" ht="30.75" customHeight="1" x14ac:dyDescent="0.3">
      <c r="B16" s="1085"/>
      <c r="C16" s="256">
        <v>0.625</v>
      </c>
      <c r="D16" s="54" t="s">
        <v>129</v>
      </c>
      <c r="E16" s="55"/>
      <c r="F16" s="56"/>
      <c r="G16" s="258">
        <v>0.54166666666666663</v>
      </c>
      <c r="H16" s="54" t="s">
        <v>131</v>
      </c>
      <c r="I16" s="55"/>
      <c r="J16" s="58"/>
      <c r="K16" s="57"/>
      <c r="L16" s="54"/>
      <c r="M16" s="55"/>
      <c r="N16" s="58"/>
      <c r="O16" s="57"/>
      <c r="P16" s="59"/>
      <c r="Q16" s="55"/>
      <c r="R16" s="58"/>
      <c r="S16" s="57"/>
      <c r="T16" s="54"/>
      <c r="U16" s="55"/>
      <c r="V16" s="60"/>
    </row>
    <row r="17" spans="2:22" ht="51" customHeight="1" x14ac:dyDescent="0.3">
      <c r="B17" s="1086"/>
      <c r="C17" s="1108" t="s">
        <v>130</v>
      </c>
      <c r="D17" s="1103"/>
      <c r="E17" s="1103"/>
      <c r="F17" s="1109"/>
      <c r="G17" s="1100" t="s">
        <v>113</v>
      </c>
      <c r="H17" s="1099"/>
      <c r="I17" s="1099"/>
      <c r="J17" s="1101"/>
      <c r="K17" s="1100" t="s">
        <v>112</v>
      </c>
      <c r="L17" s="1099"/>
      <c r="M17" s="1099"/>
      <c r="N17" s="1101"/>
      <c r="O17" s="1100" t="s">
        <v>128</v>
      </c>
      <c r="P17" s="1099"/>
      <c r="Q17" s="1099"/>
      <c r="R17" s="1101"/>
      <c r="S17" s="1100" t="s">
        <v>111</v>
      </c>
      <c r="T17" s="1099"/>
      <c r="U17" s="1099"/>
      <c r="V17" s="1099"/>
    </row>
    <row r="18" spans="2:22" ht="30.75" customHeight="1" x14ac:dyDescent="0.3">
      <c r="B18" s="1079" t="s">
        <v>12</v>
      </c>
      <c r="C18" s="62">
        <v>0.39583333333333331</v>
      </c>
      <c r="D18" s="63" t="s">
        <v>74</v>
      </c>
      <c r="E18" s="64"/>
      <c r="F18" s="61"/>
      <c r="G18" s="65">
        <v>0.41666666666666669</v>
      </c>
      <c r="H18" s="63" t="s">
        <v>44</v>
      </c>
      <c r="I18" s="64"/>
      <c r="J18" s="66"/>
      <c r="K18" s="65">
        <v>0.40277777777777779</v>
      </c>
      <c r="L18" s="63" t="s">
        <v>22</v>
      </c>
      <c r="M18" s="64"/>
      <c r="N18" s="66"/>
      <c r="O18" s="65">
        <v>0.39583333333333331</v>
      </c>
      <c r="P18" s="63" t="s">
        <v>42</v>
      </c>
      <c r="Q18" s="64"/>
      <c r="R18" s="66"/>
      <c r="S18" s="65">
        <v>0.39583333333333331</v>
      </c>
      <c r="T18" s="63" t="s">
        <v>39</v>
      </c>
      <c r="U18" s="64"/>
      <c r="V18" s="67"/>
    </row>
    <row r="19" spans="2:22" ht="30.75" customHeight="1" x14ac:dyDescent="0.3">
      <c r="B19" s="1080"/>
      <c r="C19" s="69"/>
      <c r="D19" s="70" t="s">
        <v>109</v>
      </c>
      <c r="E19" s="71"/>
      <c r="F19" s="73"/>
      <c r="G19" s="72">
        <v>0.46527777777777779</v>
      </c>
      <c r="H19" s="70" t="s">
        <v>95</v>
      </c>
      <c r="I19" s="71"/>
      <c r="J19" s="73"/>
      <c r="K19" s="72">
        <v>0.45833333333333331</v>
      </c>
      <c r="L19" s="70" t="s">
        <v>17</v>
      </c>
      <c r="M19" s="71"/>
      <c r="N19" s="73"/>
      <c r="O19" s="265">
        <v>0.45833333333333331</v>
      </c>
      <c r="P19" s="266" t="s">
        <v>126</v>
      </c>
      <c r="Q19" s="267"/>
      <c r="R19" s="268"/>
      <c r="S19" s="72"/>
      <c r="T19" s="70" t="s">
        <v>141</v>
      </c>
      <c r="U19" s="71"/>
      <c r="V19" s="74"/>
    </row>
    <row r="20" spans="2:22" ht="30.75" customHeight="1" thickBot="1" x14ac:dyDescent="0.35">
      <c r="B20" s="9" t="s">
        <v>13</v>
      </c>
      <c r="C20" s="19"/>
      <c r="D20" s="20"/>
      <c r="E20" s="21"/>
      <c r="F20" s="18"/>
      <c r="G20" s="13"/>
      <c r="H20" s="11"/>
      <c r="I20" s="12"/>
      <c r="J20" s="14"/>
      <c r="K20" s="13"/>
      <c r="L20" s="11"/>
      <c r="M20" s="12"/>
      <c r="N20" s="14"/>
      <c r="O20" s="13"/>
      <c r="P20" s="11"/>
      <c r="Q20" s="12"/>
      <c r="R20" s="14"/>
      <c r="S20" s="15"/>
      <c r="T20" s="11"/>
      <c r="U20" s="12"/>
      <c r="V20" s="17"/>
    </row>
    <row r="21" spans="2:22" ht="30.75" customHeight="1" thickTop="1" thickBot="1" x14ac:dyDescent="0.35">
      <c r="B21" s="298" t="s">
        <v>30</v>
      </c>
      <c r="C21" s="307">
        <f>S13+3</f>
        <v>12</v>
      </c>
      <c r="D21" s="286" t="s">
        <v>6</v>
      </c>
      <c r="E21" s="286" t="s">
        <v>7</v>
      </c>
      <c r="F21" s="308" t="s">
        <v>8</v>
      </c>
      <c r="G21" s="300">
        <f>C21+1</f>
        <v>13</v>
      </c>
      <c r="H21" s="3" t="s">
        <v>6</v>
      </c>
      <c r="I21" s="3" t="s">
        <v>7</v>
      </c>
      <c r="J21" s="6" t="s">
        <v>8</v>
      </c>
      <c r="K21" s="5">
        <f>G21+1</f>
        <v>14</v>
      </c>
      <c r="L21" s="3" t="s">
        <v>6</v>
      </c>
      <c r="M21" s="3" t="s">
        <v>7</v>
      </c>
      <c r="N21" s="6" t="s">
        <v>8</v>
      </c>
      <c r="O21" s="7">
        <f>K21+1</f>
        <v>15</v>
      </c>
      <c r="P21" s="8" t="s">
        <v>6</v>
      </c>
      <c r="Q21" s="3" t="s">
        <v>7</v>
      </c>
      <c r="R21" s="6" t="s">
        <v>8</v>
      </c>
      <c r="S21" s="5">
        <f>O21+1</f>
        <v>16</v>
      </c>
      <c r="T21" s="3" t="s">
        <v>6</v>
      </c>
      <c r="U21" s="3" t="s">
        <v>7</v>
      </c>
      <c r="V21" s="16" t="s">
        <v>8</v>
      </c>
    </row>
    <row r="22" spans="2:22" ht="30.75" customHeight="1" thickTop="1" x14ac:dyDescent="0.3">
      <c r="B22" s="1110" t="s">
        <v>9</v>
      </c>
      <c r="C22" s="317">
        <v>0.39583333333333331</v>
      </c>
      <c r="D22" s="270" t="s">
        <v>136</v>
      </c>
      <c r="E22" s="271"/>
      <c r="F22" s="318"/>
      <c r="G22" s="301">
        <v>0.39583333333333331</v>
      </c>
      <c r="H22" s="45" t="s">
        <v>145</v>
      </c>
      <c r="I22" s="38"/>
      <c r="J22" s="41"/>
      <c r="K22" s="40">
        <v>0.39583333333333331</v>
      </c>
      <c r="L22" s="37" t="s">
        <v>35</v>
      </c>
      <c r="M22" s="38"/>
      <c r="N22" s="41"/>
      <c r="O22" s="40">
        <v>0.375</v>
      </c>
      <c r="P22" s="37" t="s">
        <v>40</v>
      </c>
      <c r="Q22" s="38"/>
      <c r="R22" s="41"/>
      <c r="S22" s="40">
        <v>0.41666666666666669</v>
      </c>
      <c r="T22" s="37" t="s">
        <v>76</v>
      </c>
      <c r="U22" s="38"/>
      <c r="V22" s="43"/>
    </row>
    <row r="23" spans="2:22" ht="30.75" customHeight="1" x14ac:dyDescent="0.3">
      <c r="B23" s="1110"/>
      <c r="C23" s="322">
        <v>0.45833333333333331</v>
      </c>
      <c r="D23" s="323" t="s">
        <v>37</v>
      </c>
      <c r="E23" s="320"/>
      <c r="F23" s="309"/>
      <c r="G23" s="301">
        <v>0.4375</v>
      </c>
      <c r="H23" s="45" t="s">
        <v>146</v>
      </c>
      <c r="I23" s="46"/>
      <c r="J23" s="49"/>
      <c r="K23" s="50">
        <v>0.4375</v>
      </c>
      <c r="L23" s="45" t="s">
        <v>73</v>
      </c>
      <c r="M23" s="46"/>
      <c r="N23" s="49"/>
      <c r="O23" s="325">
        <v>0.4375</v>
      </c>
      <c r="P23" s="326" t="s">
        <v>134</v>
      </c>
      <c r="Q23" s="327"/>
      <c r="R23" s="328"/>
      <c r="S23" s="278"/>
      <c r="T23" s="279"/>
      <c r="U23" s="280"/>
      <c r="V23" s="281"/>
    </row>
    <row r="24" spans="2:22" ht="30.75" customHeight="1" x14ac:dyDescent="0.3">
      <c r="B24" s="1110"/>
      <c r="C24" s="321"/>
      <c r="D24" s="11"/>
      <c r="E24" s="55"/>
      <c r="F24" s="310"/>
      <c r="G24" s="324"/>
      <c r="H24" s="54"/>
      <c r="I24" s="55"/>
      <c r="J24" s="58"/>
      <c r="K24" s="258"/>
      <c r="L24" s="54"/>
      <c r="M24" s="55"/>
      <c r="N24" s="58"/>
      <c r="O24" s="319">
        <v>0.58333333333333337</v>
      </c>
      <c r="P24" s="275" t="s">
        <v>138</v>
      </c>
      <c r="Q24" s="276"/>
      <c r="R24" s="277"/>
      <c r="S24" s="57"/>
      <c r="T24" s="54"/>
      <c r="U24" s="55"/>
      <c r="V24" s="60"/>
    </row>
    <row r="25" spans="2:22" ht="42" customHeight="1" x14ac:dyDescent="0.3">
      <c r="B25" s="1111"/>
      <c r="C25" s="1112" t="s">
        <v>139</v>
      </c>
      <c r="D25" s="1103"/>
      <c r="E25" s="1103"/>
      <c r="F25" s="1113"/>
      <c r="G25" s="1103" t="s">
        <v>147</v>
      </c>
      <c r="H25" s="1103"/>
      <c r="I25" s="1103"/>
      <c r="J25" s="1109"/>
      <c r="K25" s="1102" t="s">
        <v>103</v>
      </c>
      <c r="L25" s="1103"/>
      <c r="M25" s="1103"/>
      <c r="N25" s="1109"/>
      <c r="O25" s="1108"/>
      <c r="P25" s="1103"/>
      <c r="Q25" s="1103"/>
      <c r="R25" s="1109"/>
      <c r="S25" s="1102"/>
      <c r="T25" s="1103"/>
      <c r="U25" s="1103"/>
      <c r="V25" s="1103"/>
    </row>
    <row r="26" spans="2:22" ht="30.75" customHeight="1" x14ac:dyDescent="0.3">
      <c r="B26" s="1104" t="s">
        <v>12</v>
      </c>
      <c r="C26" s="311">
        <v>0.39583333333333331</v>
      </c>
      <c r="D26" s="63" t="s">
        <v>137</v>
      </c>
      <c r="E26" s="64"/>
      <c r="F26" s="312"/>
      <c r="G26" s="302">
        <v>0.375</v>
      </c>
      <c r="H26" s="63" t="s">
        <v>143</v>
      </c>
      <c r="I26" s="64"/>
      <c r="J26" s="66"/>
      <c r="K26" s="65">
        <v>0.39583333333333331</v>
      </c>
      <c r="L26" s="63" t="s">
        <v>71</v>
      </c>
      <c r="M26" s="64"/>
      <c r="N26" s="66"/>
      <c r="O26" s="65">
        <v>0.38541666666666669</v>
      </c>
      <c r="P26" s="63" t="s">
        <v>94</v>
      </c>
      <c r="Q26" s="64"/>
      <c r="R26" s="66"/>
      <c r="S26" s="65">
        <v>0.375</v>
      </c>
      <c r="T26" s="63" t="s">
        <v>88</v>
      </c>
      <c r="U26" s="64"/>
      <c r="V26" s="67"/>
    </row>
    <row r="27" spans="2:22" ht="30.75" customHeight="1" x14ac:dyDescent="0.3">
      <c r="B27" s="1105"/>
      <c r="C27" s="313"/>
      <c r="D27" s="70"/>
      <c r="E27" s="71"/>
      <c r="F27" s="314"/>
      <c r="G27" s="303">
        <v>0.4375</v>
      </c>
      <c r="H27" s="70" t="s">
        <v>144</v>
      </c>
      <c r="I27" s="71"/>
      <c r="J27" s="73"/>
      <c r="K27" s="72">
        <v>0.4375</v>
      </c>
      <c r="L27" s="70" t="s">
        <v>93</v>
      </c>
      <c r="M27" s="71"/>
      <c r="N27" s="73"/>
      <c r="O27" s="72">
        <v>0.4375</v>
      </c>
      <c r="P27" s="70" t="s">
        <v>41</v>
      </c>
      <c r="Q27" s="71"/>
      <c r="R27" s="73"/>
      <c r="S27" s="273">
        <v>0.4375</v>
      </c>
      <c r="T27" s="274" t="s">
        <v>133</v>
      </c>
      <c r="U27" s="71"/>
      <c r="V27" s="74"/>
    </row>
    <row r="28" spans="2:22" ht="30.75" customHeight="1" thickBot="1" x14ac:dyDescent="0.35">
      <c r="B28" s="299" t="s">
        <v>13</v>
      </c>
      <c r="C28" s="315"/>
      <c r="D28" s="295"/>
      <c r="E28" s="296"/>
      <c r="F28" s="316"/>
      <c r="G28" s="304"/>
      <c r="H28" s="11"/>
      <c r="I28" s="12"/>
      <c r="J28" s="14"/>
      <c r="K28" s="15">
        <v>0.4375</v>
      </c>
      <c r="L28" s="11" t="s">
        <v>73</v>
      </c>
      <c r="M28" s="12"/>
      <c r="N28" s="14"/>
      <c r="O28" s="13"/>
      <c r="P28" s="11"/>
      <c r="Q28" s="12"/>
      <c r="R28" s="14"/>
      <c r="S28" s="24"/>
      <c r="T28" s="20"/>
      <c r="U28" s="21"/>
      <c r="V28" s="25"/>
    </row>
    <row r="29" spans="2:22" ht="30.75" customHeight="1" thickTop="1" thickBot="1" x14ac:dyDescent="0.35">
      <c r="B29" s="35" t="s">
        <v>31</v>
      </c>
      <c r="C29" s="305">
        <f>S21+3</f>
        <v>19</v>
      </c>
      <c r="D29" s="283" t="s">
        <v>6</v>
      </c>
      <c r="E29" s="283" t="s">
        <v>7</v>
      </c>
      <c r="F29" s="306" t="s">
        <v>8</v>
      </c>
      <c r="G29" s="5">
        <f>C29+1</f>
        <v>20</v>
      </c>
      <c r="H29" s="3" t="s">
        <v>6</v>
      </c>
      <c r="I29" s="3" t="s">
        <v>7</v>
      </c>
      <c r="J29" s="6" t="s">
        <v>8</v>
      </c>
      <c r="K29" s="5">
        <f>G29+1</f>
        <v>21</v>
      </c>
      <c r="L29" s="3" t="s">
        <v>6</v>
      </c>
      <c r="M29" s="3" t="s">
        <v>7</v>
      </c>
      <c r="N29" s="6" t="s">
        <v>8</v>
      </c>
      <c r="O29" s="5">
        <f>K29+1</f>
        <v>22</v>
      </c>
      <c r="P29" s="3" t="s">
        <v>6</v>
      </c>
      <c r="Q29" s="3" t="s">
        <v>7</v>
      </c>
      <c r="R29" s="16" t="s">
        <v>8</v>
      </c>
      <c r="S29" s="285">
        <f>O29+1</f>
        <v>23</v>
      </c>
      <c r="T29" s="286" t="s">
        <v>6</v>
      </c>
      <c r="U29" s="286" t="s">
        <v>7</v>
      </c>
      <c r="V29" s="287" t="s">
        <v>8</v>
      </c>
    </row>
    <row r="30" spans="2:22" ht="30.75" customHeight="1" thickTop="1" x14ac:dyDescent="0.3">
      <c r="B30" s="1085" t="s">
        <v>9</v>
      </c>
      <c r="C30" s="36">
        <v>0.39583333333333331</v>
      </c>
      <c r="D30" s="37" t="s">
        <v>79</v>
      </c>
      <c r="E30" s="38"/>
      <c r="F30" s="39"/>
      <c r="G30" s="40">
        <v>0.375</v>
      </c>
      <c r="H30" s="37" t="s">
        <v>140</v>
      </c>
      <c r="I30" s="38"/>
      <c r="J30" s="41"/>
      <c r="K30" s="40">
        <v>0.375</v>
      </c>
      <c r="L30" s="37" t="s">
        <v>124</v>
      </c>
      <c r="M30" s="38"/>
      <c r="N30" s="41"/>
      <c r="O30" s="40">
        <v>0.39583333333333331</v>
      </c>
      <c r="P30" s="37" t="s">
        <v>72</v>
      </c>
      <c r="Q30" s="38"/>
      <c r="R30" s="43"/>
      <c r="S30" s="288">
        <v>0.39583333333333331</v>
      </c>
      <c r="T30" s="37" t="s">
        <v>135</v>
      </c>
      <c r="U30" s="38"/>
      <c r="V30" s="289"/>
    </row>
    <row r="31" spans="2:22" ht="30.75" customHeight="1" x14ac:dyDescent="0.3">
      <c r="B31" s="1085"/>
      <c r="C31" s="240">
        <v>0.45833333333333331</v>
      </c>
      <c r="D31" s="45" t="s">
        <v>80</v>
      </c>
      <c r="E31" s="46"/>
      <c r="F31" s="47"/>
      <c r="G31" s="40">
        <v>0.41666666666666669</v>
      </c>
      <c r="H31" s="37" t="s">
        <v>84</v>
      </c>
      <c r="I31" s="38"/>
      <c r="J31" s="41"/>
      <c r="K31" s="89">
        <v>0.4375</v>
      </c>
      <c r="L31" s="118" t="s">
        <v>100</v>
      </c>
      <c r="M31" s="46"/>
      <c r="N31" s="49"/>
      <c r="O31" s="50"/>
      <c r="P31" s="45"/>
      <c r="Q31" s="46"/>
      <c r="R31" s="52"/>
      <c r="S31" s="329"/>
      <c r="T31" s="330"/>
      <c r="U31" s="331"/>
      <c r="V31" s="332"/>
    </row>
    <row r="32" spans="2:22" ht="30.75" customHeight="1" x14ac:dyDescent="0.3">
      <c r="B32" s="1085"/>
      <c r="C32" s="256">
        <v>0.58333333333333337</v>
      </c>
      <c r="D32" s="54" t="s">
        <v>121</v>
      </c>
      <c r="E32" s="55"/>
      <c r="F32" s="56"/>
      <c r="G32" s="57"/>
      <c r="H32" s="54"/>
      <c r="I32" s="55"/>
      <c r="J32" s="58"/>
      <c r="K32" s="57"/>
      <c r="L32" s="54"/>
      <c r="M32" s="55"/>
      <c r="N32" s="58"/>
      <c r="O32" s="57"/>
      <c r="P32" s="54"/>
      <c r="Q32" s="55"/>
      <c r="R32" s="60"/>
      <c r="S32" s="333"/>
      <c r="T32" s="334"/>
      <c r="U32" s="335"/>
      <c r="V32" s="336"/>
    </row>
    <row r="33" spans="2:22" ht="42" customHeight="1" x14ac:dyDescent="0.3">
      <c r="B33" s="1086"/>
      <c r="C33" s="1100" t="s">
        <v>161</v>
      </c>
      <c r="D33" s="1099"/>
      <c r="E33" s="1099"/>
      <c r="F33" s="1101"/>
      <c r="G33" s="1098" t="s">
        <v>117</v>
      </c>
      <c r="H33" s="1099"/>
      <c r="I33" s="1099"/>
      <c r="J33" s="1101"/>
      <c r="K33" s="1100" t="s">
        <v>163</v>
      </c>
      <c r="L33" s="1099"/>
      <c r="M33" s="1099"/>
      <c r="N33" s="1101"/>
      <c r="O33" s="1100" t="s">
        <v>162</v>
      </c>
      <c r="P33" s="1099"/>
      <c r="Q33" s="1099"/>
      <c r="R33" s="1099"/>
      <c r="S33" s="1106" t="s">
        <v>114</v>
      </c>
      <c r="T33" s="1099"/>
      <c r="U33" s="1099"/>
      <c r="V33" s="1107"/>
    </row>
    <row r="34" spans="2:22" ht="30.75" customHeight="1" x14ac:dyDescent="0.3">
      <c r="B34" s="1079" t="s">
        <v>12</v>
      </c>
      <c r="C34" s="62">
        <v>0.40277777777777779</v>
      </c>
      <c r="D34" s="63" t="s">
        <v>106</v>
      </c>
      <c r="E34" s="64"/>
      <c r="F34" s="61"/>
      <c r="G34" s="97">
        <v>0.40277777777777779</v>
      </c>
      <c r="H34" s="98" t="s">
        <v>89</v>
      </c>
      <c r="I34" s="64"/>
      <c r="J34" s="66"/>
      <c r="K34" s="65">
        <v>0.39583333333333331</v>
      </c>
      <c r="L34" s="63" t="s">
        <v>107</v>
      </c>
      <c r="M34" s="64"/>
      <c r="N34" s="66"/>
      <c r="O34" s="65">
        <v>0.41666666666666669</v>
      </c>
      <c r="P34" s="63" t="s">
        <v>108</v>
      </c>
      <c r="Q34" s="64"/>
      <c r="R34" s="67"/>
      <c r="S34" s="290">
        <v>0.375</v>
      </c>
      <c r="T34" s="63" t="s">
        <v>148</v>
      </c>
      <c r="U34" s="64"/>
      <c r="V34" s="291"/>
    </row>
    <row r="35" spans="2:22" ht="30.75" customHeight="1" x14ac:dyDescent="0.3">
      <c r="B35" s="1080"/>
      <c r="C35" s="69"/>
      <c r="D35" s="70"/>
      <c r="E35" s="71"/>
      <c r="F35" s="68"/>
      <c r="G35" s="72"/>
      <c r="H35" s="70"/>
      <c r="I35" s="71"/>
      <c r="J35" s="73"/>
      <c r="K35" s="72"/>
      <c r="L35" s="70"/>
      <c r="M35" s="71"/>
      <c r="N35" s="73"/>
      <c r="O35" s="72"/>
      <c r="P35" s="70"/>
      <c r="Q35" s="71"/>
      <c r="R35" s="74"/>
      <c r="S35" s="292">
        <v>0.4375</v>
      </c>
      <c r="T35" s="70" t="s">
        <v>158</v>
      </c>
      <c r="U35" s="71"/>
      <c r="V35" s="293"/>
    </row>
    <row r="36" spans="2:22" ht="30.75" customHeight="1" thickBot="1" x14ac:dyDescent="0.35">
      <c r="B36" s="9" t="s">
        <v>13</v>
      </c>
      <c r="C36" s="10"/>
      <c r="D36" s="11"/>
      <c r="E36" s="12"/>
      <c r="F36" s="9"/>
      <c r="G36" s="13"/>
      <c r="H36" s="11"/>
      <c r="I36" s="12"/>
      <c r="J36" s="14"/>
      <c r="K36" s="13"/>
      <c r="L36" s="11"/>
      <c r="M36" s="12"/>
      <c r="N36" s="14"/>
      <c r="O36" s="13"/>
      <c r="P36" s="11"/>
      <c r="Q36" s="12"/>
      <c r="R36" s="17"/>
      <c r="S36" s="294"/>
      <c r="T36" s="295"/>
      <c r="U36" s="296"/>
      <c r="V36" s="297"/>
    </row>
    <row r="37" spans="2:22" ht="30.75" customHeight="1" thickTop="1" thickBot="1" x14ac:dyDescent="0.35">
      <c r="B37" s="35" t="s">
        <v>32</v>
      </c>
      <c r="C37" s="2">
        <f>S29+3</f>
        <v>26</v>
      </c>
      <c r="D37" s="3" t="s">
        <v>6</v>
      </c>
      <c r="E37" s="3" t="s">
        <v>7</v>
      </c>
      <c r="F37" s="4" t="s">
        <v>8</v>
      </c>
      <c r="G37" s="5">
        <f>C37+1</f>
        <v>27</v>
      </c>
      <c r="H37" s="3" t="s">
        <v>6</v>
      </c>
      <c r="I37" s="3" t="s">
        <v>7</v>
      </c>
      <c r="J37" s="6" t="s">
        <v>8</v>
      </c>
      <c r="K37" s="5">
        <f>G37+1</f>
        <v>28</v>
      </c>
      <c r="L37" s="3" t="s">
        <v>6</v>
      </c>
      <c r="M37" s="3" t="s">
        <v>7</v>
      </c>
      <c r="N37" s="6" t="s">
        <v>8</v>
      </c>
      <c r="O37" s="5">
        <f>K37+1</f>
        <v>29</v>
      </c>
      <c r="P37" s="3"/>
      <c r="Q37" s="3"/>
      <c r="R37" s="6"/>
      <c r="S37" s="282">
        <f>O37+1</f>
        <v>30</v>
      </c>
      <c r="T37" s="283"/>
      <c r="U37" s="283"/>
      <c r="V37" s="284"/>
    </row>
    <row r="38" spans="2:22" ht="30.75" customHeight="1" thickTop="1" x14ac:dyDescent="0.3">
      <c r="B38" s="1085" t="s">
        <v>9</v>
      </c>
      <c r="C38" s="341">
        <v>0.45833333333333331</v>
      </c>
      <c r="D38" s="270" t="s">
        <v>159</v>
      </c>
      <c r="E38" s="271"/>
      <c r="F38" s="342"/>
      <c r="G38" s="337">
        <v>0.4375</v>
      </c>
      <c r="H38" s="338" t="s">
        <v>154</v>
      </c>
      <c r="I38" s="339"/>
      <c r="J38" s="340"/>
      <c r="K38" s="269">
        <v>0.39583333333333331</v>
      </c>
      <c r="L38" s="270" t="s">
        <v>125</v>
      </c>
      <c r="M38" s="271"/>
      <c r="N38" s="272"/>
      <c r="O38" s="40"/>
      <c r="P38" s="37"/>
      <c r="Q38" s="38"/>
      <c r="R38" s="41"/>
      <c r="S38" s="40"/>
      <c r="T38" s="255" t="s">
        <v>119</v>
      </c>
      <c r="U38" s="38"/>
      <c r="V38" s="43"/>
    </row>
    <row r="39" spans="2:22" ht="30.75" customHeight="1" x14ac:dyDescent="0.3">
      <c r="B39" s="1085"/>
      <c r="C39" s="343"/>
      <c r="D39" s="262" t="s">
        <v>160</v>
      </c>
      <c r="E39" s="263"/>
      <c r="F39" s="344"/>
      <c r="G39" s="48"/>
      <c r="H39" s="45"/>
      <c r="I39" s="46"/>
      <c r="J39" s="49"/>
      <c r="K39" s="50"/>
      <c r="L39" s="45"/>
      <c r="M39" s="46"/>
      <c r="N39" s="49"/>
      <c r="O39" s="50"/>
      <c r="P39" s="45"/>
      <c r="Q39" s="46"/>
      <c r="R39" s="49"/>
      <c r="S39" s="50"/>
      <c r="T39" s="45"/>
      <c r="U39" s="46"/>
      <c r="V39" s="52"/>
    </row>
    <row r="40" spans="2:22" ht="30.75" customHeight="1" x14ac:dyDescent="0.3">
      <c r="B40" s="1085"/>
      <c r="C40" s="53"/>
      <c r="D40" s="54"/>
      <c r="E40" s="55"/>
      <c r="F40" s="56"/>
      <c r="G40" s="57"/>
      <c r="H40" s="54"/>
      <c r="I40" s="55"/>
      <c r="J40" s="58"/>
      <c r="K40" s="57"/>
      <c r="L40" s="54"/>
      <c r="M40" s="55"/>
      <c r="N40" s="58"/>
      <c r="O40" s="57"/>
      <c r="P40" s="54"/>
      <c r="Q40" s="55"/>
      <c r="R40" s="58"/>
      <c r="S40" s="57"/>
      <c r="T40" s="54"/>
      <c r="U40" s="55"/>
      <c r="V40" s="60"/>
    </row>
    <row r="41" spans="2:22" ht="42" customHeight="1" x14ac:dyDescent="0.3">
      <c r="B41" s="1086"/>
      <c r="C41" s="1100" t="s">
        <v>120</v>
      </c>
      <c r="D41" s="1099"/>
      <c r="E41" s="1099"/>
      <c r="F41" s="1101"/>
      <c r="G41" s="1098" t="s">
        <v>116</v>
      </c>
      <c r="H41" s="1099"/>
      <c r="I41" s="1099"/>
      <c r="J41" s="1101"/>
      <c r="K41" s="1098" t="s">
        <v>115</v>
      </c>
      <c r="L41" s="1099"/>
      <c r="M41" s="1099"/>
      <c r="N41" s="1101"/>
      <c r="O41" s="1100" t="s">
        <v>118</v>
      </c>
      <c r="P41" s="1099"/>
      <c r="Q41" s="1099"/>
      <c r="R41" s="1101"/>
      <c r="S41" s="1098" t="s">
        <v>114</v>
      </c>
      <c r="T41" s="1099"/>
      <c r="U41" s="1099"/>
      <c r="V41" s="1099"/>
    </row>
    <row r="42" spans="2:22" ht="30.75" customHeight="1" x14ac:dyDescent="0.3">
      <c r="B42" s="1079" t="s">
        <v>12</v>
      </c>
      <c r="C42" s="199"/>
      <c r="D42" s="200"/>
      <c r="E42" s="201"/>
      <c r="F42" s="202"/>
      <c r="G42" s="65">
        <v>0.41666666666666669</v>
      </c>
      <c r="H42" s="63" t="s">
        <v>15</v>
      </c>
      <c r="I42" s="64"/>
      <c r="J42" s="66"/>
      <c r="K42" s="65"/>
      <c r="L42" s="63"/>
      <c r="M42" s="64"/>
      <c r="N42" s="66"/>
      <c r="O42" s="65"/>
      <c r="P42" s="63"/>
      <c r="Q42" s="64"/>
      <c r="R42" s="66"/>
      <c r="S42" s="65"/>
      <c r="T42" s="63"/>
      <c r="U42" s="64"/>
      <c r="V42" s="67"/>
    </row>
    <row r="43" spans="2:22" ht="30.75" customHeight="1" x14ac:dyDescent="0.3">
      <c r="B43" s="1080"/>
      <c r="C43" s="203"/>
      <c r="D43" s="204"/>
      <c r="E43" s="205"/>
      <c r="F43" s="206"/>
      <c r="G43" s="72"/>
      <c r="H43" s="70"/>
      <c r="I43" s="71"/>
      <c r="J43" s="73"/>
      <c r="K43" s="72"/>
      <c r="L43" s="70"/>
      <c r="M43" s="71"/>
      <c r="N43" s="73"/>
      <c r="O43" s="72"/>
      <c r="P43" s="70"/>
      <c r="Q43" s="71"/>
      <c r="R43" s="73"/>
      <c r="S43" s="72"/>
      <c r="T43" s="70"/>
      <c r="U43" s="71"/>
      <c r="V43" s="74"/>
    </row>
    <row r="44" spans="2:22" ht="30.75" customHeight="1" x14ac:dyDescent="0.3">
      <c r="B44" s="9" t="s">
        <v>13</v>
      </c>
      <c r="C44" s="10"/>
      <c r="D44" s="11"/>
      <c r="E44" s="12"/>
      <c r="F44" s="9"/>
      <c r="G44" s="13"/>
      <c r="H44" s="11"/>
      <c r="I44" s="12"/>
      <c r="J44" s="14"/>
      <c r="K44" s="13"/>
      <c r="L44" s="11"/>
      <c r="M44" s="12"/>
      <c r="N44" s="14"/>
      <c r="O44" s="13"/>
      <c r="P44" s="11"/>
      <c r="Q44" s="12"/>
      <c r="R44" s="14"/>
      <c r="S44" s="13"/>
      <c r="T44" s="11"/>
      <c r="U44" s="12"/>
      <c r="V44" s="17"/>
    </row>
  </sheetData>
  <mergeCells count="40">
    <mergeCell ref="C4:F4"/>
    <mergeCell ref="G4:J4"/>
    <mergeCell ref="K4:N4"/>
    <mergeCell ref="O4:R4"/>
    <mergeCell ref="S4:V4"/>
    <mergeCell ref="S9:V9"/>
    <mergeCell ref="B10:B11"/>
    <mergeCell ref="B14:B17"/>
    <mergeCell ref="C17:F17"/>
    <mergeCell ref="G17:J17"/>
    <mergeCell ref="K17:N17"/>
    <mergeCell ref="O17:R17"/>
    <mergeCell ref="S17:V17"/>
    <mergeCell ref="B6:B9"/>
    <mergeCell ref="C9:F9"/>
    <mergeCell ref="G9:J9"/>
    <mergeCell ref="K9:N9"/>
    <mergeCell ref="O9:R9"/>
    <mergeCell ref="B18:B19"/>
    <mergeCell ref="B22:B25"/>
    <mergeCell ref="C25:F25"/>
    <mergeCell ref="G25:J25"/>
    <mergeCell ref="K25:N25"/>
    <mergeCell ref="S25:V25"/>
    <mergeCell ref="B26:B27"/>
    <mergeCell ref="B30:B33"/>
    <mergeCell ref="C33:F33"/>
    <mergeCell ref="G33:J33"/>
    <mergeCell ref="K33:N33"/>
    <mergeCell ref="O33:R33"/>
    <mergeCell ref="S33:V33"/>
    <mergeCell ref="O25:R25"/>
    <mergeCell ref="S41:V41"/>
    <mergeCell ref="B42:B43"/>
    <mergeCell ref="B34:B35"/>
    <mergeCell ref="B38:B41"/>
    <mergeCell ref="C41:F41"/>
    <mergeCell ref="G41:J41"/>
    <mergeCell ref="K41:N41"/>
    <mergeCell ref="O41:R4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B44"/>
  <sheetViews>
    <sheetView showGridLines="0" zoomScale="58" zoomScaleNormal="40" workbookViewId="0">
      <selection activeCell="B3" sqref="B3"/>
    </sheetView>
  </sheetViews>
  <sheetFormatPr defaultRowHeight="30.75" customHeight="1" x14ac:dyDescent="0.3"/>
  <cols>
    <col min="1" max="1" width="2.25" style="1" customWidth="1"/>
    <col min="2" max="2" width="14" style="1" customWidth="1"/>
    <col min="3" max="3" width="8.375" style="1" customWidth="1"/>
    <col min="4" max="4" width="25.375" style="1" customWidth="1"/>
    <col min="5" max="6" width="9.125" style="1" customWidth="1"/>
    <col min="7" max="7" width="7.75" style="1" customWidth="1"/>
    <col min="8" max="8" width="25.375" style="1" customWidth="1"/>
    <col min="9" max="10" width="9.125" style="1" customWidth="1"/>
    <col min="11" max="11" width="7.75" style="1" customWidth="1"/>
    <col min="12" max="12" width="25.375" style="1" customWidth="1"/>
    <col min="13" max="14" width="9.125" style="1" customWidth="1"/>
    <col min="15" max="15" width="7.75" style="1" customWidth="1"/>
    <col min="16" max="16" width="25.375" style="1" customWidth="1"/>
    <col min="17" max="18" width="9.125" style="1" customWidth="1"/>
    <col min="19" max="19" width="7.75" style="1" customWidth="1"/>
    <col min="20" max="20" width="25.375" style="1" customWidth="1"/>
    <col min="21" max="22" width="9.125" style="1" customWidth="1"/>
    <col min="23" max="23" width="2.25" style="1" customWidth="1"/>
    <col min="24" max="16384" width="9" style="1"/>
  </cols>
  <sheetData>
    <row r="1" spans="2:22" ht="11.25" customHeight="1" x14ac:dyDescent="0.3">
      <c r="B1" s="207"/>
    </row>
    <row r="2" spans="2:22" ht="75.75" customHeight="1" thickBot="1" x14ac:dyDescent="0.35">
      <c r="B2" s="132" t="s">
        <v>77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</row>
    <row r="3" spans="2:22" ht="30.75" customHeight="1" thickTop="1" x14ac:dyDescent="0.3">
      <c r="B3" s="207" t="s">
        <v>189</v>
      </c>
    </row>
    <row r="4" spans="2:22" ht="30.75" customHeight="1" thickBot="1" x14ac:dyDescent="0.35">
      <c r="B4" s="4" t="s">
        <v>0</v>
      </c>
      <c r="C4" s="1077" t="s">
        <v>1</v>
      </c>
      <c r="D4" s="1077"/>
      <c r="E4" s="1077"/>
      <c r="F4" s="1077"/>
      <c r="G4" s="1077" t="s">
        <v>2</v>
      </c>
      <c r="H4" s="1077"/>
      <c r="I4" s="1077"/>
      <c r="J4" s="1077"/>
      <c r="K4" s="1077" t="s">
        <v>3</v>
      </c>
      <c r="L4" s="1077"/>
      <c r="M4" s="1077"/>
      <c r="N4" s="1077"/>
      <c r="O4" s="1077" t="s">
        <v>4</v>
      </c>
      <c r="P4" s="1077"/>
      <c r="Q4" s="1077"/>
      <c r="R4" s="1077"/>
      <c r="S4" s="1077" t="s">
        <v>5</v>
      </c>
      <c r="T4" s="1077"/>
      <c r="U4" s="1077"/>
      <c r="V4" s="1078"/>
    </row>
    <row r="5" spans="2:22" ht="22.5" customHeight="1" thickTop="1" thickBot="1" x14ac:dyDescent="0.35">
      <c r="B5" s="34" t="s">
        <v>28</v>
      </c>
      <c r="C5" s="348">
        <v>2</v>
      </c>
      <c r="D5" s="349" t="s">
        <v>6</v>
      </c>
      <c r="E5" s="349" t="s">
        <v>7</v>
      </c>
      <c r="F5" s="350" t="s">
        <v>8</v>
      </c>
      <c r="G5" s="5">
        <f>C5+1</f>
        <v>3</v>
      </c>
      <c r="H5" s="3" t="s">
        <v>6</v>
      </c>
      <c r="I5" s="3" t="s">
        <v>7</v>
      </c>
      <c r="J5" s="6" t="s">
        <v>8</v>
      </c>
      <c r="K5" s="5">
        <f>G5+1</f>
        <v>4</v>
      </c>
      <c r="L5" s="3" t="s">
        <v>6</v>
      </c>
      <c r="M5" s="3" t="s">
        <v>7</v>
      </c>
      <c r="N5" s="6" t="s">
        <v>8</v>
      </c>
      <c r="O5" s="369">
        <f>K5+1</f>
        <v>5</v>
      </c>
      <c r="P5" s="349" t="s">
        <v>6</v>
      </c>
      <c r="Q5" s="349" t="s">
        <v>7</v>
      </c>
      <c r="R5" s="370" t="s">
        <v>8</v>
      </c>
      <c r="S5" s="5">
        <f>O5+1</f>
        <v>6</v>
      </c>
      <c r="T5" s="3" t="s">
        <v>6</v>
      </c>
      <c r="U5" s="3" t="s">
        <v>7</v>
      </c>
      <c r="V5" s="16" t="s">
        <v>8</v>
      </c>
    </row>
    <row r="6" spans="2:22" ht="30.75" customHeight="1" thickTop="1" x14ac:dyDescent="0.3">
      <c r="B6" s="1110" t="s">
        <v>9</v>
      </c>
      <c r="C6" s="351">
        <v>0.39583333333333331</v>
      </c>
      <c r="D6" s="352" t="s">
        <v>187</v>
      </c>
      <c r="E6" s="353"/>
      <c r="F6" s="354"/>
      <c r="G6" s="347">
        <v>0.39583333333333331</v>
      </c>
      <c r="H6" s="37" t="s">
        <v>167</v>
      </c>
      <c r="I6" s="38"/>
      <c r="J6" s="41"/>
      <c r="K6" s="40">
        <v>0.39583333333333331</v>
      </c>
      <c r="L6" s="37" t="s">
        <v>149</v>
      </c>
      <c r="M6" s="38"/>
      <c r="N6" s="43"/>
      <c r="O6" s="372">
        <v>0.39583333333333331</v>
      </c>
      <c r="P6" s="373" t="s">
        <v>155</v>
      </c>
      <c r="Q6" s="393"/>
      <c r="R6" s="394"/>
      <c r="S6" s="347">
        <v>0.39583333333333331</v>
      </c>
      <c r="T6" s="37" t="s">
        <v>150</v>
      </c>
      <c r="U6" s="38"/>
      <c r="V6" s="43"/>
    </row>
    <row r="7" spans="2:22" ht="30.75" customHeight="1" x14ac:dyDescent="0.3">
      <c r="B7" s="1110"/>
      <c r="C7" s="355">
        <v>0.47916666666666669</v>
      </c>
      <c r="D7" s="345" t="s">
        <v>50</v>
      </c>
      <c r="E7" s="346"/>
      <c r="F7" s="356"/>
      <c r="G7" s="301">
        <v>0.45833333333333331</v>
      </c>
      <c r="H7" s="45" t="s">
        <v>170</v>
      </c>
      <c r="I7" s="46"/>
      <c r="J7" s="49"/>
      <c r="K7" s="50">
        <v>0.58333333333333337</v>
      </c>
      <c r="L7" s="45" t="s">
        <v>165</v>
      </c>
      <c r="M7" s="46"/>
      <c r="N7" s="52"/>
      <c r="O7" s="375">
        <v>0.47916666666666669</v>
      </c>
      <c r="P7" s="45" t="s">
        <v>183</v>
      </c>
      <c r="Q7" s="46"/>
      <c r="R7" s="376"/>
      <c r="S7" s="367"/>
      <c r="T7" s="45"/>
      <c r="U7" s="46"/>
      <c r="V7" s="52"/>
    </row>
    <row r="8" spans="2:22" ht="30.75" customHeight="1" x14ac:dyDescent="0.3">
      <c r="B8" s="1110"/>
      <c r="C8" s="357"/>
      <c r="D8" s="54" t="s">
        <v>176</v>
      </c>
      <c r="E8" s="55"/>
      <c r="F8" s="310"/>
      <c r="G8" s="399">
        <v>0.39583333333333331</v>
      </c>
      <c r="H8" s="400" t="s">
        <v>166</v>
      </c>
      <c r="I8" s="401"/>
      <c r="J8" s="402"/>
      <c r="K8" s="57"/>
      <c r="L8" s="55"/>
      <c r="M8" s="55"/>
      <c r="N8" s="60"/>
      <c r="O8" s="377">
        <v>0.39583333333333331</v>
      </c>
      <c r="P8" s="362" t="s">
        <v>178</v>
      </c>
      <c r="Q8" s="395"/>
      <c r="R8" s="396"/>
      <c r="S8" s="368">
        <v>0.5625</v>
      </c>
      <c r="T8" s="54" t="s">
        <v>172</v>
      </c>
      <c r="U8" s="55"/>
      <c r="V8" s="60"/>
    </row>
    <row r="9" spans="2:22" ht="48" customHeight="1" x14ac:dyDescent="0.3">
      <c r="B9" s="1111"/>
      <c r="C9" s="1128" t="s">
        <v>182</v>
      </c>
      <c r="D9" s="1129"/>
      <c r="E9" s="1129"/>
      <c r="F9" s="1130"/>
      <c r="G9" s="1131" t="s">
        <v>188</v>
      </c>
      <c r="H9" s="1103"/>
      <c r="I9" s="1103"/>
      <c r="J9" s="1109"/>
      <c r="K9" s="1102" t="s">
        <v>168</v>
      </c>
      <c r="L9" s="1103"/>
      <c r="M9" s="1103"/>
      <c r="N9" s="1103"/>
      <c r="O9" s="1112" t="s">
        <v>192</v>
      </c>
      <c r="P9" s="1103"/>
      <c r="Q9" s="1103"/>
      <c r="R9" s="1113"/>
      <c r="S9" s="1103"/>
      <c r="T9" s="1103"/>
      <c r="U9" s="1103"/>
      <c r="V9" s="1103"/>
    </row>
    <row r="10" spans="2:22" ht="30.75" customHeight="1" x14ac:dyDescent="0.3">
      <c r="B10" s="1125" t="s">
        <v>12</v>
      </c>
      <c r="C10" s="387">
        <v>0.41666666666666669</v>
      </c>
      <c r="D10" s="388" t="s">
        <v>184</v>
      </c>
      <c r="E10" s="389"/>
      <c r="F10" s="390"/>
      <c r="G10" s="302"/>
      <c r="H10" s="63"/>
      <c r="I10" s="64"/>
      <c r="J10" s="66"/>
      <c r="K10" s="363">
        <v>0.39583333333333331</v>
      </c>
      <c r="L10" s="364" t="s">
        <v>174</v>
      </c>
      <c r="M10" s="365"/>
      <c r="N10" s="366"/>
      <c r="O10" s="290">
        <v>0.39583333333333331</v>
      </c>
      <c r="P10" s="63" t="s">
        <v>180</v>
      </c>
      <c r="Q10" s="64"/>
      <c r="R10" s="291"/>
      <c r="S10" s="302">
        <v>0.39583333333333331</v>
      </c>
      <c r="T10" s="63" t="s">
        <v>80</v>
      </c>
      <c r="U10" s="64"/>
      <c r="V10" s="67"/>
    </row>
    <row r="11" spans="2:22" ht="30.75" customHeight="1" thickBot="1" x14ac:dyDescent="0.35">
      <c r="B11" s="1126"/>
      <c r="C11" s="358"/>
      <c r="D11" s="359"/>
      <c r="E11" s="360"/>
      <c r="F11" s="361"/>
      <c r="G11" s="303"/>
      <c r="H11" s="70"/>
      <c r="I11" s="71"/>
      <c r="J11" s="73"/>
      <c r="K11" s="101">
        <v>0.4375</v>
      </c>
      <c r="L11" s="102" t="s">
        <v>179</v>
      </c>
      <c r="M11" s="103"/>
      <c r="N11" s="123"/>
      <c r="O11" s="391"/>
      <c r="P11" s="392"/>
      <c r="Q11" s="360"/>
      <c r="R11" s="378"/>
      <c r="S11" s="303">
        <v>0.45833333333333331</v>
      </c>
      <c r="T11" s="70" t="s">
        <v>79</v>
      </c>
      <c r="U11" s="71"/>
      <c r="V11" s="74"/>
    </row>
    <row r="12" spans="2:22" ht="30.75" customHeight="1" thickTop="1" x14ac:dyDescent="0.3">
      <c r="B12" s="18" t="s">
        <v>13</v>
      </c>
      <c r="C12" s="10"/>
      <c r="D12" s="11"/>
      <c r="E12" s="12"/>
      <c r="F12" s="9"/>
      <c r="G12" s="13"/>
      <c r="H12" s="11"/>
      <c r="I12" s="12"/>
      <c r="J12" s="14"/>
      <c r="K12" s="13"/>
      <c r="L12" s="11"/>
      <c r="M12" s="12"/>
      <c r="N12" s="14"/>
      <c r="O12" s="13"/>
      <c r="P12" s="11"/>
      <c r="Q12" s="12"/>
      <c r="R12" s="14"/>
      <c r="S12" s="15"/>
      <c r="T12" s="11"/>
      <c r="U12" s="12"/>
      <c r="V12" s="17"/>
    </row>
    <row r="13" spans="2:22" ht="22.5" customHeight="1" thickBot="1" x14ac:dyDescent="0.35">
      <c r="B13" s="35" t="s">
        <v>29</v>
      </c>
      <c r="C13" s="348">
        <f>S5+3</f>
        <v>9</v>
      </c>
      <c r="D13" s="349" t="s">
        <v>6</v>
      </c>
      <c r="E13" s="349" t="s">
        <v>7</v>
      </c>
      <c r="F13" s="350" t="s">
        <v>8</v>
      </c>
      <c r="G13" s="5">
        <f>C13+1</f>
        <v>10</v>
      </c>
      <c r="H13" s="3" t="s">
        <v>6</v>
      </c>
      <c r="I13" s="3" t="s">
        <v>7</v>
      </c>
      <c r="J13" s="6" t="s">
        <v>8</v>
      </c>
      <c r="K13" s="369">
        <f>G13+1</f>
        <v>11</v>
      </c>
      <c r="L13" s="349" t="s">
        <v>6</v>
      </c>
      <c r="M13" s="349" t="s">
        <v>7</v>
      </c>
      <c r="N13" s="370" t="s">
        <v>8</v>
      </c>
      <c r="O13" s="5">
        <f>K13+1</f>
        <v>12</v>
      </c>
      <c r="P13" s="3" t="s">
        <v>6</v>
      </c>
      <c r="Q13" s="3" t="s">
        <v>7</v>
      </c>
      <c r="R13" s="6" t="s">
        <v>8</v>
      </c>
      <c r="S13" s="369">
        <f>O13+1</f>
        <v>13</v>
      </c>
      <c r="T13" s="349" t="s">
        <v>6</v>
      </c>
      <c r="U13" s="349" t="s">
        <v>7</v>
      </c>
      <c r="V13" s="371" t="s">
        <v>8</v>
      </c>
    </row>
    <row r="14" spans="2:22" ht="30.75" customHeight="1" thickTop="1" x14ac:dyDescent="0.3">
      <c r="B14" s="1110" t="s">
        <v>9</v>
      </c>
      <c r="C14" s="379">
        <v>0.3888888888888889</v>
      </c>
      <c r="D14" s="380" t="s">
        <v>181</v>
      </c>
      <c r="E14" s="397"/>
      <c r="F14" s="398"/>
      <c r="G14" s="347">
        <v>0.39583333333333331</v>
      </c>
      <c r="H14" s="37" t="s">
        <v>152</v>
      </c>
      <c r="I14" s="38"/>
      <c r="J14" s="43"/>
      <c r="K14" s="413">
        <v>0.375</v>
      </c>
      <c r="L14" s="414" t="s">
        <v>47</v>
      </c>
      <c r="M14" s="415"/>
      <c r="N14" s="416"/>
      <c r="O14" s="347">
        <v>0.39583333333333331</v>
      </c>
      <c r="P14" s="37" t="s">
        <v>171</v>
      </c>
      <c r="Q14" s="38"/>
      <c r="R14" s="43"/>
      <c r="S14" s="384">
        <v>0.375</v>
      </c>
      <c r="T14" s="352" t="s">
        <v>169</v>
      </c>
      <c r="U14" s="353"/>
      <c r="V14" s="374"/>
    </row>
    <row r="15" spans="2:22" ht="30.75" customHeight="1" x14ac:dyDescent="0.3">
      <c r="B15" s="1110"/>
      <c r="C15" s="381">
        <v>0.41666666666666669</v>
      </c>
      <c r="D15" s="45" t="s">
        <v>82</v>
      </c>
      <c r="E15" s="46"/>
      <c r="F15" s="309"/>
      <c r="G15" s="301">
        <v>0.4375</v>
      </c>
      <c r="H15" s="45" t="s">
        <v>191</v>
      </c>
      <c r="I15" s="320"/>
      <c r="J15" s="425"/>
      <c r="K15" s="409">
        <v>0.40277777777777779</v>
      </c>
      <c r="L15" s="410" t="s">
        <v>22</v>
      </c>
      <c r="M15" s="411"/>
      <c r="N15" s="412"/>
      <c r="O15" s="301">
        <v>0.4375</v>
      </c>
      <c r="P15" s="45" t="s">
        <v>164</v>
      </c>
      <c r="Q15" s="46"/>
      <c r="R15" s="52"/>
      <c r="S15" s="375">
        <v>0.39583333333333331</v>
      </c>
      <c r="T15" s="45" t="s">
        <v>190</v>
      </c>
      <c r="U15" s="46"/>
      <c r="V15" s="376"/>
    </row>
    <row r="16" spans="2:22" ht="30.75" customHeight="1" x14ac:dyDescent="0.3">
      <c r="B16" s="1110"/>
      <c r="C16" s="381">
        <v>0.45833333333333331</v>
      </c>
      <c r="D16" s="54" t="s">
        <v>106</v>
      </c>
      <c r="E16" s="55"/>
      <c r="F16" s="310"/>
      <c r="G16" s="417"/>
      <c r="H16" s="418"/>
      <c r="I16" s="419"/>
      <c r="J16" s="420"/>
      <c r="K16" s="426">
        <v>0.45833333333333331</v>
      </c>
      <c r="L16" s="427" t="s">
        <v>173</v>
      </c>
      <c r="M16" s="428"/>
      <c r="N16" s="429"/>
      <c r="O16" s="324"/>
      <c r="P16" s="54"/>
      <c r="Q16" s="55"/>
      <c r="R16" s="60"/>
      <c r="S16" s="382"/>
      <c r="T16" s="54"/>
      <c r="U16" s="55"/>
      <c r="V16" s="383"/>
    </row>
    <row r="17" spans="2:28" ht="48" customHeight="1" x14ac:dyDescent="0.3">
      <c r="B17" s="1111"/>
      <c r="C17" s="1112"/>
      <c r="D17" s="1103"/>
      <c r="E17" s="1103"/>
      <c r="F17" s="1113"/>
      <c r="G17" s="1103"/>
      <c r="H17" s="1103"/>
      <c r="I17" s="1103"/>
      <c r="J17" s="1103"/>
      <c r="K17" s="1127" t="s">
        <v>196</v>
      </c>
      <c r="L17" s="1103"/>
      <c r="M17" s="1103"/>
      <c r="N17" s="1113"/>
      <c r="O17" s="1103"/>
      <c r="P17" s="1103"/>
      <c r="Q17" s="1103"/>
      <c r="R17" s="1103"/>
      <c r="S17" s="1127"/>
      <c r="T17" s="1103"/>
      <c r="U17" s="1103"/>
      <c r="V17" s="1113"/>
    </row>
    <row r="18" spans="2:28" ht="30.75" customHeight="1" x14ac:dyDescent="0.3">
      <c r="B18" s="1104" t="s">
        <v>12</v>
      </c>
      <c r="C18" s="311">
        <v>0.39583333333333331</v>
      </c>
      <c r="D18" s="63" t="s">
        <v>151</v>
      </c>
      <c r="E18" s="64"/>
      <c r="F18" s="312"/>
      <c r="G18" s="302">
        <v>0.375</v>
      </c>
      <c r="H18" s="408" t="s">
        <v>195</v>
      </c>
      <c r="I18" s="64"/>
      <c r="J18" s="67"/>
      <c r="K18" s="403">
        <v>0.39583333333333331</v>
      </c>
      <c r="L18" s="404" t="s">
        <v>153</v>
      </c>
      <c r="M18" s="405"/>
      <c r="N18" s="406"/>
      <c r="O18" s="302">
        <v>0.41666666666666669</v>
      </c>
      <c r="P18" s="63" t="s">
        <v>177</v>
      </c>
      <c r="Q18" s="64"/>
      <c r="R18" s="67"/>
      <c r="S18" s="290">
        <v>0.39583333333333331</v>
      </c>
      <c r="T18" s="63" t="s">
        <v>175</v>
      </c>
      <c r="U18" s="64"/>
      <c r="V18" s="291"/>
    </row>
    <row r="19" spans="2:28" ht="30.75" customHeight="1" thickBot="1" x14ac:dyDescent="0.35">
      <c r="B19" s="1105"/>
      <c r="C19" s="421">
        <v>0.46527777777777779</v>
      </c>
      <c r="D19" s="386" t="s">
        <v>37</v>
      </c>
      <c r="E19" s="422"/>
      <c r="F19" s="423"/>
      <c r="G19" s="303"/>
      <c r="H19" s="70"/>
      <c r="I19" s="71"/>
      <c r="J19" s="74"/>
      <c r="K19" s="385"/>
      <c r="L19" s="386"/>
      <c r="M19" s="360"/>
      <c r="N19" s="378"/>
      <c r="O19" s="303"/>
      <c r="P19" s="70"/>
      <c r="Q19" s="71"/>
      <c r="R19" s="74"/>
      <c r="S19" s="385"/>
      <c r="T19" s="386"/>
      <c r="U19" s="360"/>
      <c r="V19" s="378"/>
    </row>
    <row r="20" spans="2:28" ht="30.75" customHeight="1" thickTop="1" x14ac:dyDescent="0.3">
      <c r="B20" s="9" t="s">
        <v>13</v>
      </c>
      <c r="C20" s="10"/>
      <c r="D20" s="11"/>
      <c r="E20" s="12"/>
      <c r="F20" s="9"/>
      <c r="G20" s="13"/>
      <c r="H20" s="11"/>
      <c r="I20" s="12"/>
      <c r="J20" s="14"/>
      <c r="K20" s="13"/>
      <c r="L20" s="11"/>
      <c r="M20" s="12"/>
      <c r="N20" s="14"/>
      <c r="O20" s="13"/>
      <c r="P20" s="11"/>
      <c r="Q20" s="12"/>
      <c r="R20" s="14"/>
      <c r="S20" s="15"/>
      <c r="T20" s="11"/>
      <c r="U20" s="12"/>
      <c r="V20" s="17"/>
    </row>
    <row r="21" spans="2:28" ht="22.5" customHeight="1" thickBot="1" x14ac:dyDescent="0.35">
      <c r="B21" s="35" t="s">
        <v>30</v>
      </c>
      <c r="C21" s="2">
        <f>S13+3</f>
        <v>16</v>
      </c>
      <c r="D21" s="3" t="s">
        <v>6</v>
      </c>
      <c r="E21" s="3" t="s">
        <v>7</v>
      </c>
      <c r="F21" s="4" t="s">
        <v>8</v>
      </c>
      <c r="G21" s="5">
        <f>C21+1</f>
        <v>17</v>
      </c>
      <c r="H21" s="3" t="s">
        <v>6</v>
      </c>
      <c r="I21" s="3" t="s">
        <v>7</v>
      </c>
      <c r="J21" s="6" t="s">
        <v>8</v>
      </c>
      <c r="K21" s="5">
        <f>G21+1</f>
        <v>18</v>
      </c>
      <c r="L21" s="3" t="s">
        <v>6</v>
      </c>
      <c r="M21" s="3" t="s">
        <v>7</v>
      </c>
      <c r="N21" s="6" t="s">
        <v>8</v>
      </c>
      <c r="O21" s="5">
        <f>K21+1</f>
        <v>19</v>
      </c>
      <c r="P21" s="3" t="s">
        <v>6</v>
      </c>
      <c r="Q21" s="3" t="s">
        <v>7</v>
      </c>
      <c r="R21" s="6" t="s">
        <v>8</v>
      </c>
      <c r="S21" s="5">
        <f>O21+1</f>
        <v>20</v>
      </c>
      <c r="T21" s="3" t="s">
        <v>6</v>
      </c>
      <c r="U21" s="3" t="s">
        <v>7</v>
      </c>
      <c r="V21" s="16" t="s">
        <v>8</v>
      </c>
    </row>
    <row r="22" spans="2:28" ht="30.75" customHeight="1" thickTop="1" x14ac:dyDescent="0.3">
      <c r="B22" s="1085" t="s">
        <v>9</v>
      </c>
      <c r="C22" s="241"/>
      <c r="D22" s="213"/>
      <c r="E22" s="214"/>
      <c r="F22" s="242"/>
      <c r="G22" s="212"/>
      <c r="H22" s="213"/>
      <c r="I22" s="214"/>
      <c r="J22" s="215"/>
      <c r="K22" s="212"/>
      <c r="L22" s="213"/>
      <c r="M22" s="214"/>
      <c r="N22" s="215"/>
      <c r="O22" s="337">
        <v>0.39583333333333331</v>
      </c>
      <c r="P22" s="338" t="s">
        <v>157</v>
      </c>
      <c r="Q22" s="339"/>
      <c r="R22" s="340"/>
      <c r="S22" s="337">
        <v>0.41666666666666669</v>
      </c>
      <c r="T22" s="338" t="s">
        <v>231</v>
      </c>
      <c r="U22" s="339"/>
      <c r="V22" s="407"/>
    </row>
    <row r="23" spans="2:28" ht="30.75" customHeight="1" x14ac:dyDescent="0.3">
      <c r="B23" s="1085"/>
      <c r="C23" s="243"/>
      <c r="D23" s="218"/>
      <c r="E23" s="219"/>
      <c r="F23" s="244"/>
      <c r="G23" s="221"/>
      <c r="H23" s="218"/>
      <c r="I23" s="219"/>
      <c r="J23" s="220"/>
      <c r="K23" s="217"/>
      <c r="L23" s="218"/>
      <c r="M23" s="219"/>
      <c r="N23" s="220"/>
      <c r="O23" s="50"/>
      <c r="P23" s="45"/>
      <c r="Q23" s="46"/>
      <c r="R23" s="49"/>
      <c r="S23" s="50"/>
      <c r="T23" s="45"/>
      <c r="U23" s="46"/>
      <c r="V23" s="52"/>
    </row>
    <row r="24" spans="2:28" ht="30.75" customHeight="1" x14ac:dyDescent="0.3">
      <c r="B24" s="1085"/>
      <c r="C24" s="245"/>
      <c r="D24" s="224"/>
      <c r="E24" s="225"/>
      <c r="F24" s="246"/>
      <c r="G24" s="223"/>
      <c r="H24" s="224"/>
      <c r="I24" s="225"/>
      <c r="J24" s="226"/>
      <c r="K24" s="223"/>
      <c r="L24" s="224"/>
      <c r="M24" s="225"/>
      <c r="N24" s="226"/>
      <c r="O24" s="57"/>
      <c r="P24" s="54"/>
      <c r="Q24" s="55"/>
      <c r="R24" s="58"/>
      <c r="S24" s="57"/>
      <c r="T24" s="54"/>
      <c r="U24" s="55"/>
      <c r="V24" s="60"/>
    </row>
    <row r="25" spans="2:28" ht="42" customHeight="1" x14ac:dyDescent="0.3">
      <c r="B25" s="1086"/>
      <c r="C25" s="1124"/>
      <c r="D25" s="1122"/>
      <c r="E25" s="1122"/>
      <c r="F25" s="1123"/>
      <c r="G25" s="1121"/>
      <c r="H25" s="1122"/>
      <c r="I25" s="1122"/>
      <c r="J25" s="1123"/>
      <c r="K25" s="1121"/>
      <c r="L25" s="1122"/>
      <c r="M25" s="1122"/>
      <c r="N25" s="1123"/>
      <c r="O25" s="1102"/>
      <c r="P25" s="1103"/>
      <c r="Q25" s="1103"/>
      <c r="R25" s="1109"/>
      <c r="S25" s="1102"/>
      <c r="T25" s="1103"/>
      <c r="U25" s="1103"/>
      <c r="V25" s="1103"/>
      <c r="AB25" s="432"/>
    </row>
    <row r="26" spans="2:28" ht="30.75" customHeight="1" x14ac:dyDescent="0.3">
      <c r="B26" s="1079" t="s">
        <v>12</v>
      </c>
      <c r="C26" s="199"/>
      <c r="D26" s="200"/>
      <c r="E26" s="201"/>
      <c r="F26" s="202"/>
      <c r="G26" s="228"/>
      <c r="H26" s="200"/>
      <c r="I26" s="201"/>
      <c r="J26" s="229"/>
      <c r="K26" s="228"/>
      <c r="L26" s="200"/>
      <c r="M26" s="201"/>
      <c r="N26" s="229"/>
      <c r="O26" s="65">
        <v>0.38541666666666669</v>
      </c>
      <c r="P26" s="63" t="s">
        <v>94</v>
      </c>
      <c r="Q26" s="64"/>
      <c r="R26" s="66"/>
      <c r="S26" s="65">
        <v>0.39583333333333331</v>
      </c>
      <c r="T26" s="63" t="s">
        <v>185</v>
      </c>
      <c r="U26" s="64"/>
      <c r="V26" s="67"/>
    </row>
    <row r="27" spans="2:28" ht="30.75" customHeight="1" x14ac:dyDescent="0.3">
      <c r="B27" s="1080"/>
      <c r="C27" s="203"/>
      <c r="D27" s="204"/>
      <c r="E27" s="205"/>
      <c r="F27" s="206"/>
      <c r="G27" s="231"/>
      <c r="H27" s="204"/>
      <c r="I27" s="205"/>
      <c r="J27" s="232"/>
      <c r="K27" s="231"/>
      <c r="L27" s="204"/>
      <c r="M27" s="205"/>
      <c r="N27" s="232"/>
      <c r="O27" s="72"/>
      <c r="P27" s="70"/>
      <c r="Q27" s="71"/>
      <c r="R27" s="73"/>
      <c r="S27" s="72"/>
      <c r="T27" s="70"/>
      <c r="U27" s="71"/>
      <c r="V27" s="74"/>
    </row>
    <row r="28" spans="2:28" ht="30.75" customHeight="1" x14ac:dyDescent="0.3">
      <c r="B28" s="9" t="s">
        <v>13</v>
      </c>
      <c r="C28" s="247"/>
      <c r="D28" s="235"/>
      <c r="E28" s="236"/>
      <c r="F28" s="248"/>
      <c r="G28" s="234"/>
      <c r="H28" s="235"/>
      <c r="I28" s="236"/>
      <c r="J28" s="237"/>
      <c r="K28" s="234"/>
      <c r="L28" s="235"/>
      <c r="M28" s="236"/>
      <c r="N28" s="237"/>
      <c r="O28" s="13"/>
      <c r="P28" s="11"/>
      <c r="Q28" s="12"/>
      <c r="R28" s="14"/>
      <c r="S28" s="15"/>
      <c r="T28" s="11"/>
      <c r="U28" s="12"/>
      <c r="V28" s="17"/>
    </row>
    <row r="29" spans="2:28" ht="22.5" customHeight="1" thickBot="1" x14ac:dyDescent="0.35">
      <c r="B29" s="35" t="s">
        <v>31</v>
      </c>
      <c r="C29" s="2">
        <f>S21+3</f>
        <v>23</v>
      </c>
      <c r="D29" s="3" t="s">
        <v>6</v>
      </c>
      <c r="E29" s="3" t="s">
        <v>7</v>
      </c>
      <c r="F29" s="4" t="s">
        <v>8</v>
      </c>
      <c r="G29" s="5">
        <f>C29+1</f>
        <v>24</v>
      </c>
      <c r="H29" s="3" t="s">
        <v>6</v>
      </c>
      <c r="I29" s="3" t="s">
        <v>7</v>
      </c>
      <c r="J29" s="6" t="s">
        <v>8</v>
      </c>
      <c r="K29" s="5">
        <f>G29+1</f>
        <v>25</v>
      </c>
      <c r="L29" s="3" t="s">
        <v>6</v>
      </c>
      <c r="M29" s="3" t="s">
        <v>7</v>
      </c>
      <c r="N29" s="6" t="s">
        <v>8</v>
      </c>
      <c r="O29" s="5">
        <f>K29+1</f>
        <v>26</v>
      </c>
      <c r="P29" s="3" t="s">
        <v>6</v>
      </c>
      <c r="Q29" s="3" t="s">
        <v>7</v>
      </c>
      <c r="R29" s="6" t="s">
        <v>8</v>
      </c>
      <c r="S29" s="5">
        <f>O29+1</f>
        <v>27</v>
      </c>
      <c r="T29" s="3" t="s">
        <v>6</v>
      </c>
      <c r="U29" s="3" t="s">
        <v>7</v>
      </c>
      <c r="V29" s="16" t="s">
        <v>8</v>
      </c>
    </row>
    <row r="30" spans="2:28" ht="30.75" customHeight="1" thickTop="1" x14ac:dyDescent="0.3">
      <c r="B30" s="1085" t="s">
        <v>9</v>
      </c>
      <c r="C30" s="36">
        <v>0.39583333333333331</v>
      </c>
      <c r="D30" s="338" t="s">
        <v>156</v>
      </c>
      <c r="E30" s="38"/>
      <c r="F30" s="39"/>
      <c r="G30" s="40">
        <v>0.39583333333333331</v>
      </c>
      <c r="H30" s="37" t="s">
        <v>70</v>
      </c>
      <c r="I30" s="38"/>
      <c r="J30" s="41"/>
      <c r="K30" s="40"/>
      <c r="L30" s="37"/>
      <c r="M30" s="38"/>
      <c r="N30" s="41"/>
      <c r="O30" s="40">
        <v>0.39583333333333331</v>
      </c>
      <c r="P30" s="37" t="s">
        <v>72</v>
      </c>
      <c r="Q30" s="38"/>
      <c r="R30" s="41"/>
      <c r="S30" s="40"/>
      <c r="T30" s="37"/>
      <c r="U30" s="38"/>
      <c r="V30" s="43"/>
    </row>
    <row r="31" spans="2:28" ht="30.75" customHeight="1" x14ac:dyDescent="0.3">
      <c r="B31" s="1085"/>
      <c r="C31" s="44"/>
      <c r="D31" s="45"/>
      <c r="E31" s="46"/>
      <c r="F31" s="47"/>
      <c r="G31" s="48"/>
      <c r="H31" s="45"/>
      <c r="I31" s="46"/>
      <c r="J31" s="49"/>
      <c r="K31" s="50"/>
      <c r="L31" s="45"/>
      <c r="M31" s="46"/>
      <c r="N31" s="49"/>
      <c r="O31" s="50"/>
      <c r="P31" s="45"/>
      <c r="Q31" s="46"/>
      <c r="R31" s="49"/>
      <c r="S31" s="48"/>
      <c r="T31" s="45"/>
      <c r="U31" s="46"/>
      <c r="V31" s="52"/>
    </row>
    <row r="32" spans="2:28" ht="30.75" customHeight="1" x14ac:dyDescent="0.3">
      <c r="B32" s="1085"/>
      <c r="C32" s="53"/>
      <c r="D32" s="54"/>
      <c r="E32" s="55"/>
      <c r="F32" s="56"/>
      <c r="G32" s="57"/>
      <c r="H32" s="54"/>
      <c r="I32" s="55"/>
      <c r="J32" s="58"/>
      <c r="K32" s="57"/>
      <c r="L32" s="54"/>
      <c r="M32" s="55"/>
      <c r="N32" s="58"/>
      <c r="O32" s="57"/>
      <c r="P32" s="54"/>
      <c r="Q32" s="55"/>
      <c r="R32" s="58"/>
      <c r="S32" s="57"/>
      <c r="T32" s="54"/>
      <c r="U32" s="55"/>
      <c r="V32" s="60"/>
    </row>
    <row r="33" spans="2:22" ht="48" customHeight="1" x14ac:dyDescent="0.3">
      <c r="B33" s="1086"/>
      <c r="C33" s="1108"/>
      <c r="D33" s="1103"/>
      <c r="E33" s="1103"/>
      <c r="F33" s="1109"/>
      <c r="G33" s="1102"/>
      <c r="H33" s="1103"/>
      <c r="I33" s="1103"/>
      <c r="J33" s="1109"/>
      <c r="K33" s="1102"/>
      <c r="L33" s="1103"/>
      <c r="M33" s="1103"/>
      <c r="N33" s="1109"/>
      <c r="O33" s="1102"/>
      <c r="P33" s="1103"/>
      <c r="Q33" s="1103"/>
      <c r="R33" s="1109"/>
      <c r="S33" s="1102"/>
      <c r="T33" s="1103"/>
      <c r="U33" s="1103"/>
      <c r="V33" s="1103"/>
    </row>
    <row r="34" spans="2:22" ht="30.75" customHeight="1" x14ac:dyDescent="0.3">
      <c r="B34" s="1079" t="s">
        <v>12</v>
      </c>
      <c r="C34" s="62"/>
      <c r="D34" s="63"/>
      <c r="E34" s="64"/>
      <c r="F34" s="61"/>
      <c r="G34" s="65"/>
      <c r="H34" s="63"/>
      <c r="I34" s="64"/>
      <c r="J34" s="66"/>
      <c r="K34" s="65"/>
      <c r="L34" s="63"/>
      <c r="M34" s="64"/>
      <c r="N34" s="66"/>
      <c r="O34" s="65"/>
      <c r="P34" s="63"/>
      <c r="Q34" s="64"/>
      <c r="R34" s="66"/>
      <c r="S34" s="65"/>
      <c r="T34" s="63"/>
      <c r="U34" s="64"/>
      <c r="V34" s="67"/>
    </row>
    <row r="35" spans="2:22" ht="30.75" customHeight="1" x14ac:dyDescent="0.3">
      <c r="B35" s="1080"/>
      <c r="C35" s="69"/>
      <c r="D35" s="70"/>
      <c r="E35" s="71"/>
      <c r="F35" s="68"/>
      <c r="G35" s="72"/>
      <c r="H35" s="70"/>
      <c r="I35" s="71"/>
      <c r="J35" s="73"/>
      <c r="K35" s="72"/>
      <c r="L35" s="70"/>
      <c r="M35" s="71"/>
      <c r="N35" s="73"/>
      <c r="O35" s="72"/>
      <c r="P35" s="70"/>
      <c r="Q35" s="71"/>
      <c r="R35" s="73"/>
      <c r="S35" s="72"/>
      <c r="T35" s="70"/>
      <c r="U35" s="71"/>
      <c r="V35" s="74"/>
    </row>
    <row r="36" spans="2:22" ht="30.75" customHeight="1" x14ac:dyDescent="0.3">
      <c r="B36" s="9" t="s">
        <v>13</v>
      </c>
      <c r="C36" s="10"/>
      <c r="D36" s="11"/>
      <c r="E36" s="12"/>
      <c r="F36" s="9"/>
      <c r="G36" s="13"/>
      <c r="H36" s="11"/>
      <c r="I36" s="12"/>
      <c r="J36" s="14"/>
      <c r="K36" s="13"/>
      <c r="L36" s="11"/>
      <c r="M36" s="12"/>
      <c r="N36" s="14"/>
      <c r="O36" s="13"/>
      <c r="P36" s="11"/>
      <c r="Q36" s="12"/>
      <c r="R36" s="14"/>
      <c r="S36" s="15"/>
      <c r="T36" s="11"/>
      <c r="U36" s="12"/>
      <c r="V36" s="17"/>
    </row>
    <row r="37" spans="2:22" ht="22.5" customHeight="1" thickBot="1" x14ac:dyDescent="0.35">
      <c r="B37" s="35" t="s">
        <v>32</v>
      </c>
      <c r="C37" s="208"/>
      <c r="D37" s="209"/>
      <c r="E37" s="209"/>
      <c r="F37" s="210"/>
      <c r="G37" s="208"/>
      <c r="H37" s="209"/>
      <c r="I37" s="209"/>
      <c r="J37" s="210"/>
      <c r="K37" s="208"/>
      <c r="L37" s="209"/>
      <c r="M37" s="209"/>
      <c r="N37" s="210"/>
      <c r="O37" s="208"/>
      <c r="P37" s="209"/>
      <c r="Q37" s="209"/>
      <c r="R37" s="210"/>
      <c r="S37" s="208"/>
      <c r="T37" s="209"/>
      <c r="U37" s="209"/>
      <c r="V37" s="211"/>
    </row>
    <row r="38" spans="2:22" ht="30.75" customHeight="1" thickTop="1" x14ac:dyDescent="0.3">
      <c r="B38" s="1085" t="s">
        <v>9</v>
      </c>
      <c r="C38" s="212"/>
      <c r="D38" s="213"/>
      <c r="E38" s="214"/>
      <c r="F38" s="215"/>
      <c r="G38" s="212"/>
      <c r="H38" s="213"/>
      <c r="I38" s="214"/>
      <c r="J38" s="215"/>
      <c r="K38" s="212"/>
      <c r="L38" s="213"/>
      <c r="M38" s="214"/>
      <c r="N38" s="215"/>
      <c r="O38" s="212"/>
      <c r="P38" s="213"/>
      <c r="Q38" s="214"/>
      <c r="R38" s="215"/>
      <c r="S38" s="212"/>
      <c r="T38" s="213"/>
      <c r="U38" s="214"/>
      <c r="V38" s="216"/>
    </row>
    <row r="39" spans="2:22" ht="30.75" customHeight="1" x14ac:dyDescent="0.3">
      <c r="B39" s="1085"/>
      <c r="C39" s="217"/>
      <c r="D39" s="218"/>
      <c r="E39" s="219"/>
      <c r="F39" s="220"/>
      <c r="G39" s="217"/>
      <c r="H39" s="218"/>
      <c r="I39" s="219"/>
      <c r="J39" s="220"/>
      <c r="K39" s="217"/>
      <c r="L39" s="218"/>
      <c r="M39" s="219"/>
      <c r="N39" s="220"/>
      <c r="O39" s="217"/>
      <c r="P39" s="218"/>
      <c r="Q39" s="219"/>
      <c r="R39" s="220"/>
      <c r="S39" s="221"/>
      <c r="T39" s="218"/>
      <c r="U39" s="219"/>
      <c r="V39" s="222"/>
    </row>
    <row r="40" spans="2:22" ht="30.75" customHeight="1" x14ac:dyDescent="0.3">
      <c r="B40" s="1085"/>
      <c r="C40" s="223"/>
      <c r="D40" s="224"/>
      <c r="E40" s="225"/>
      <c r="F40" s="226"/>
      <c r="G40" s="223"/>
      <c r="H40" s="224"/>
      <c r="I40" s="225"/>
      <c r="J40" s="226"/>
      <c r="K40" s="223"/>
      <c r="L40" s="224"/>
      <c r="M40" s="225"/>
      <c r="N40" s="226"/>
      <c r="O40" s="223"/>
      <c r="P40" s="224"/>
      <c r="Q40" s="225"/>
      <c r="R40" s="226"/>
      <c r="S40" s="223"/>
      <c r="T40" s="224"/>
      <c r="U40" s="225"/>
      <c r="V40" s="227"/>
    </row>
    <row r="41" spans="2:22" ht="48" customHeight="1" x14ac:dyDescent="0.3">
      <c r="B41" s="1086"/>
      <c r="C41" s="1121"/>
      <c r="D41" s="1122"/>
      <c r="E41" s="1122"/>
      <c r="F41" s="1123"/>
      <c r="G41" s="1121"/>
      <c r="H41" s="1122"/>
      <c r="I41" s="1122"/>
      <c r="J41" s="1123"/>
      <c r="K41" s="1121"/>
      <c r="L41" s="1122"/>
      <c r="M41" s="1122"/>
      <c r="N41" s="1123"/>
      <c r="O41" s="1121"/>
      <c r="P41" s="1122"/>
      <c r="Q41" s="1122"/>
      <c r="R41" s="1123"/>
      <c r="S41" s="1121"/>
      <c r="T41" s="1122"/>
      <c r="U41" s="1122"/>
      <c r="V41" s="1122"/>
    </row>
    <row r="42" spans="2:22" ht="30.75" customHeight="1" x14ac:dyDescent="0.3">
      <c r="B42" s="1079" t="s">
        <v>12</v>
      </c>
      <c r="C42" s="228"/>
      <c r="D42" s="200"/>
      <c r="E42" s="201"/>
      <c r="F42" s="229"/>
      <c r="G42" s="228"/>
      <c r="H42" s="200"/>
      <c r="I42" s="201"/>
      <c r="J42" s="229"/>
      <c r="K42" s="228"/>
      <c r="L42" s="200"/>
      <c r="M42" s="201"/>
      <c r="N42" s="229"/>
      <c r="O42" s="228"/>
      <c r="P42" s="200"/>
      <c r="Q42" s="201"/>
      <c r="R42" s="229"/>
      <c r="S42" s="228"/>
      <c r="T42" s="200"/>
      <c r="U42" s="201"/>
      <c r="V42" s="230"/>
    </row>
    <row r="43" spans="2:22" ht="30.75" customHeight="1" x14ac:dyDescent="0.3">
      <c r="B43" s="1080"/>
      <c r="C43" s="231"/>
      <c r="D43" s="204"/>
      <c r="E43" s="205"/>
      <c r="F43" s="232"/>
      <c r="G43" s="231"/>
      <c r="H43" s="204"/>
      <c r="I43" s="205"/>
      <c r="J43" s="232"/>
      <c r="K43" s="231"/>
      <c r="L43" s="204"/>
      <c r="M43" s="205"/>
      <c r="N43" s="232"/>
      <c r="O43" s="231"/>
      <c r="P43" s="204"/>
      <c r="Q43" s="205"/>
      <c r="R43" s="232"/>
      <c r="S43" s="231"/>
      <c r="T43" s="204"/>
      <c r="U43" s="205"/>
      <c r="V43" s="233"/>
    </row>
    <row r="44" spans="2:22" ht="30.75" customHeight="1" x14ac:dyDescent="0.3">
      <c r="B44" s="9" t="s">
        <v>13</v>
      </c>
      <c r="C44" s="234"/>
      <c r="D44" s="235"/>
      <c r="E44" s="236"/>
      <c r="F44" s="237"/>
      <c r="G44" s="234"/>
      <c r="H44" s="235"/>
      <c r="I44" s="236"/>
      <c r="J44" s="237"/>
      <c r="K44" s="234"/>
      <c r="L44" s="235"/>
      <c r="M44" s="236"/>
      <c r="N44" s="237"/>
      <c r="O44" s="234"/>
      <c r="P44" s="235"/>
      <c r="Q44" s="236"/>
      <c r="R44" s="237"/>
      <c r="S44" s="238"/>
      <c r="T44" s="235"/>
      <c r="U44" s="236"/>
      <c r="V44" s="239"/>
    </row>
  </sheetData>
  <mergeCells count="40">
    <mergeCell ref="C4:F4"/>
    <mergeCell ref="G4:J4"/>
    <mergeCell ref="K4:N4"/>
    <mergeCell ref="O4:R4"/>
    <mergeCell ref="S4:V4"/>
    <mergeCell ref="S9:V9"/>
    <mergeCell ref="B10:B11"/>
    <mergeCell ref="B14:B17"/>
    <mergeCell ref="C17:F17"/>
    <mergeCell ref="G17:J17"/>
    <mergeCell ref="K17:N17"/>
    <mergeCell ref="O17:R17"/>
    <mergeCell ref="S17:V17"/>
    <mergeCell ref="B6:B9"/>
    <mergeCell ref="C9:F9"/>
    <mergeCell ref="G9:J9"/>
    <mergeCell ref="K9:N9"/>
    <mergeCell ref="O9:R9"/>
    <mergeCell ref="B18:B19"/>
    <mergeCell ref="B22:B25"/>
    <mergeCell ref="C25:F25"/>
    <mergeCell ref="G25:J25"/>
    <mergeCell ref="K25:N25"/>
    <mergeCell ref="S25:V25"/>
    <mergeCell ref="B26:B27"/>
    <mergeCell ref="B30:B33"/>
    <mergeCell ref="C33:F33"/>
    <mergeCell ref="G33:J33"/>
    <mergeCell ref="K33:N33"/>
    <mergeCell ref="O33:R33"/>
    <mergeCell ref="S33:V33"/>
    <mergeCell ref="O25:R25"/>
    <mergeCell ref="S41:V41"/>
    <mergeCell ref="B42:B43"/>
    <mergeCell ref="B34:B35"/>
    <mergeCell ref="B38:B41"/>
    <mergeCell ref="C41:F41"/>
    <mergeCell ref="G41:J41"/>
    <mergeCell ref="K41:N41"/>
    <mergeCell ref="O41:R41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D46"/>
  <sheetViews>
    <sheetView showGridLines="0" topLeftCell="A7" zoomScale="50" zoomScaleNormal="50" workbookViewId="0">
      <selection activeCell="H28" sqref="H28"/>
    </sheetView>
  </sheetViews>
  <sheetFormatPr defaultRowHeight="30.75" customHeight="1" x14ac:dyDescent="0.3"/>
  <cols>
    <col min="1" max="1" width="4.125" style="1" customWidth="1"/>
    <col min="2" max="2" width="14" style="1" customWidth="1"/>
    <col min="3" max="3" width="8.375" style="1" customWidth="1"/>
    <col min="4" max="4" width="25.375" style="1" customWidth="1"/>
    <col min="5" max="6" width="9.125" style="1" customWidth="1"/>
    <col min="7" max="7" width="7.75" style="1" customWidth="1"/>
    <col min="8" max="8" width="25.375" style="1" customWidth="1"/>
    <col min="9" max="10" width="9.125" style="1" customWidth="1"/>
    <col min="11" max="11" width="7.75" style="1" customWidth="1"/>
    <col min="12" max="12" width="25.375" style="1" customWidth="1"/>
    <col min="13" max="14" width="9.125" style="1" customWidth="1"/>
    <col min="15" max="15" width="7.75" style="1" customWidth="1"/>
    <col min="16" max="16" width="25.375" style="1" customWidth="1"/>
    <col min="17" max="18" width="9.125" style="1" customWidth="1"/>
    <col min="19" max="19" width="7.75" style="1" customWidth="1"/>
    <col min="20" max="20" width="25.375" style="1" customWidth="1"/>
    <col min="21" max="22" width="9.125" style="1" customWidth="1"/>
    <col min="23" max="23" width="4.125" style="1" customWidth="1"/>
    <col min="24" max="24" width="9" style="1"/>
    <col min="25" max="25" width="9" style="207"/>
    <col min="26" max="16384" width="9" style="1"/>
  </cols>
  <sheetData>
    <row r="1" spans="2:30" ht="30.75" customHeight="1" x14ac:dyDescent="0.3">
      <c r="B1" s="207"/>
    </row>
    <row r="2" spans="2:30" ht="96" customHeight="1" thickBot="1" x14ac:dyDescent="0.35">
      <c r="B2" s="132" t="s">
        <v>83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</row>
    <row r="3" spans="2:30" ht="30.75" customHeight="1" thickTop="1" x14ac:dyDescent="0.3">
      <c r="B3" s="431" t="s">
        <v>253</v>
      </c>
      <c r="C3" s="430"/>
      <c r="D3" s="430"/>
      <c r="E3" s="430"/>
      <c r="F3" s="430"/>
      <c r="G3" s="430"/>
      <c r="H3" s="430"/>
      <c r="I3" s="430"/>
      <c r="J3" s="430"/>
      <c r="K3" s="430"/>
      <c r="L3" s="430"/>
      <c r="M3" s="430"/>
      <c r="N3" s="430"/>
      <c r="O3" s="430"/>
      <c r="P3" s="430"/>
      <c r="Q3" s="430"/>
      <c r="R3" s="430"/>
      <c r="S3" s="430"/>
      <c r="T3" s="430"/>
      <c r="U3" s="430"/>
      <c r="V3" s="430"/>
    </row>
    <row r="4" spans="2:30" ht="30.75" customHeight="1" thickBot="1" x14ac:dyDescent="0.35">
      <c r="B4" s="4" t="s">
        <v>0</v>
      </c>
      <c r="C4" s="1077" t="s">
        <v>1</v>
      </c>
      <c r="D4" s="1077"/>
      <c r="E4" s="1077"/>
      <c r="F4" s="1077"/>
      <c r="G4" s="1077" t="s">
        <v>2</v>
      </c>
      <c r="H4" s="1077"/>
      <c r="I4" s="1077"/>
      <c r="J4" s="1077"/>
      <c r="K4" s="1077" t="s">
        <v>3</v>
      </c>
      <c r="L4" s="1077"/>
      <c r="M4" s="1077"/>
      <c r="N4" s="1077"/>
      <c r="O4" s="1077" t="s">
        <v>4</v>
      </c>
      <c r="P4" s="1077"/>
      <c r="Q4" s="1077"/>
      <c r="R4" s="1077"/>
      <c r="S4" s="1077" t="s">
        <v>5</v>
      </c>
      <c r="T4" s="1077"/>
      <c r="U4" s="1077"/>
      <c r="V4" s="1078"/>
    </row>
    <row r="5" spans="2:30" ht="30.75" customHeight="1" thickTop="1" thickBot="1" x14ac:dyDescent="0.35">
      <c r="B5" s="34" t="s">
        <v>28</v>
      </c>
      <c r="C5" s="2">
        <v>2</v>
      </c>
      <c r="D5" s="3" t="s">
        <v>6</v>
      </c>
      <c r="E5" s="3" t="s">
        <v>7</v>
      </c>
      <c r="F5" s="4" t="s">
        <v>8</v>
      </c>
      <c r="G5" s="5">
        <f>C5+1</f>
        <v>3</v>
      </c>
      <c r="H5" s="3" t="s">
        <v>6</v>
      </c>
      <c r="I5" s="3" t="s">
        <v>7</v>
      </c>
      <c r="J5" s="6" t="s">
        <v>8</v>
      </c>
      <c r="K5" s="369">
        <f>G5+1</f>
        <v>4</v>
      </c>
      <c r="L5" s="349" t="s">
        <v>6</v>
      </c>
      <c r="M5" s="349" t="s">
        <v>7</v>
      </c>
      <c r="N5" s="370" t="s">
        <v>8</v>
      </c>
      <c r="O5" s="5">
        <f>K5+1</f>
        <v>5</v>
      </c>
      <c r="P5" s="3" t="s">
        <v>6</v>
      </c>
      <c r="Q5" s="3" t="s">
        <v>7</v>
      </c>
      <c r="R5" s="6" t="s">
        <v>8</v>
      </c>
      <c r="S5" s="5">
        <f>O5+1</f>
        <v>6</v>
      </c>
      <c r="T5" s="3" t="s">
        <v>6</v>
      </c>
      <c r="U5" s="3" t="s">
        <v>7</v>
      </c>
      <c r="V5" s="16" t="s">
        <v>8</v>
      </c>
    </row>
    <row r="6" spans="2:30" ht="30.75" customHeight="1" thickTop="1" thickBot="1" x14ac:dyDescent="0.35">
      <c r="B6" s="1085" t="s">
        <v>9</v>
      </c>
      <c r="C6" s="241"/>
      <c r="D6" s="213"/>
      <c r="E6" s="214"/>
      <c r="F6" s="242"/>
      <c r="G6" s="433">
        <v>0.39583333333333331</v>
      </c>
      <c r="H6" s="255" t="s">
        <v>79</v>
      </c>
      <c r="I6" s="434"/>
      <c r="J6" s="438"/>
      <c r="K6" s="384">
        <v>0.39583333333333331</v>
      </c>
      <c r="L6" s="352" t="s">
        <v>22</v>
      </c>
      <c r="M6" s="353"/>
      <c r="N6" s="374"/>
      <c r="O6" s="455">
        <v>0.39583333333333331</v>
      </c>
      <c r="P6" s="20" t="s">
        <v>70</v>
      </c>
      <c r="Q6" s="21"/>
      <c r="R6" s="23"/>
      <c r="S6" s="40">
        <v>0.39583333333333331</v>
      </c>
      <c r="T6" s="37" t="s">
        <v>155</v>
      </c>
      <c r="U6" s="38"/>
      <c r="V6" s="43"/>
    </row>
    <row r="7" spans="2:30" ht="30.75" customHeight="1" thickTop="1" thickBot="1" x14ac:dyDescent="0.35">
      <c r="B7" s="1085"/>
      <c r="C7" s="243"/>
      <c r="D7" s="218"/>
      <c r="E7" s="219"/>
      <c r="F7" s="244"/>
      <c r="G7" s="435">
        <v>0.45833333333333331</v>
      </c>
      <c r="H7" s="436" t="s">
        <v>80</v>
      </c>
      <c r="I7" s="437"/>
      <c r="J7" s="439"/>
      <c r="K7" s="375">
        <v>0.47222222222222221</v>
      </c>
      <c r="L7" s="45" t="s">
        <v>17</v>
      </c>
      <c r="M7" s="46"/>
      <c r="N7" s="376"/>
      <c r="O7" s="456">
        <v>0.39583333333333331</v>
      </c>
      <c r="P7" s="1146" t="s">
        <v>246</v>
      </c>
      <c r="Q7" s="1147"/>
      <c r="R7" s="1148"/>
      <c r="S7" s="301">
        <v>0.5625</v>
      </c>
      <c r="T7" s="45" t="s">
        <v>95</v>
      </c>
      <c r="U7" s="46"/>
      <c r="V7" s="52"/>
    </row>
    <row r="8" spans="2:30" ht="30.75" customHeight="1" thickTop="1" thickBot="1" x14ac:dyDescent="0.35">
      <c r="B8" s="1085"/>
      <c r="C8" s="245"/>
      <c r="D8" s="224"/>
      <c r="E8" s="225"/>
      <c r="F8" s="246"/>
      <c r="G8" s="258"/>
      <c r="H8" s="54"/>
      <c r="I8" s="55"/>
      <c r="J8" s="60"/>
      <c r="K8" s="469"/>
      <c r="L8" s="470"/>
      <c r="M8" s="453"/>
      <c r="N8" s="454"/>
      <c r="O8" s="457">
        <v>0.5</v>
      </c>
      <c r="P8" s="11" t="s">
        <v>237</v>
      </c>
      <c r="Q8" s="12"/>
      <c r="R8" s="14"/>
      <c r="S8" s="258"/>
      <c r="T8" s="54"/>
      <c r="U8" s="55"/>
      <c r="V8" s="60"/>
    </row>
    <row r="9" spans="2:30" ht="42" customHeight="1" thickTop="1" thickBot="1" x14ac:dyDescent="0.35">
      <c r="B9" s="1086"/>
      <c r="C9" s="1124"/>
      <c r="D9" s="1122"/>
      <c r="E9" s="1122"/>
      <c r="F9" s="1123"/>
      <c r="G9" s="1102" t="s">
        <v>194</v>
      </c>
      <c r="H9" s="1103"/>
      <c r="I9" s="1103"/>
      <c r="J9" s="1109"/>
      <c r="K9" s="1143" t="s">
        <v>245</v>
      </c>
      <c r="L9" s="1144"/>
      <c r="M9" s="1144"/>
      <c r="N9" s="1145"/>
      <c r="O9" s="1102" t="s">
        <v>247</v>
      </c>
      <c r="P9" s="1103"/>
      <c r="Q9" s="1103"/>
      <c r="R9" s="1109"/>
      <c r="S9" s="1102" t="s">
        <v>239</v>
      </c>
      <c r="T9" s="1103"/>
      <c r="U9" s="1103"/>
      <c r="V9" s="1103"/>
    </row>
    <row r="10" spans="2:30" ht="30.75" customHeight="1" thickTop="1" x14ac:dyDescent="0.3">
      <c r="B10" s="1087" t="s">
        <v>12</v>
      </c>
      <c r="C10" s="199"/>
      <c r="D10" s="200"/>
      <c r="E10" s="201"/>
      <c r="F10" s="202"/>
      <c r="G10" s="65">
        <v>0.39583333333333331</v>
      </c>
      <c r="H10" s="63" t="s">
        <v>173</v>
      </c>
      <c r="I10" s="64"/>
      <c r="J10" s="67"/>
      <c r="K10" s="444">
        <v>0.39583333333333331</v>
      </c>
      <c r="L10" s="458" t="s">
        <v>206</v>
      </c>
      <c r="M10" s="446"/>
      <c r="N10" s="447"/>
      <c r="O10" s="302">
        <v>0.39583333333333331</v>
      </c>
      <c r="P10" s="63" t="s">
        <v>248</v>
      </c>
      <c r="Q10" s="64"/>
      <c r="R10" s="66"/>
      <c r="S10" s="65">
        <v>0.39583333333333331</v>
      </c>
      <c r="T10" s="63" t="s">
        <v>197</v>
      </c>
      <c r="U10" s="64"/>
      <c r="V10" s="67"/>
    </row>
    <row r="11" spans="2:30" ht="30.75" customHeight="1" x14ac:dyDescent="0.3">
      <c r="B11" s="1137"/>
      <c r="C11" s="459"/>
      <c r="D11" s="460"/>
      <c r="E11" s="461"/>
      <c r="F11" s="462"/>
      <c r="G11" s="463">
        <v>0.39583333333333331</v>
      </c>
      <c r="H11" s="464" t="s">
        <v>227</v>
      </c>
      <c r="I11" s="465"/>
      <c r="J11" s="466"/>
      <c r="K11" s="471">
        <v>0.45833333333333331</v>
      </c>
      <c r="L11" s="472" t="s">
        <v>254</v>
      </c>
      <c r="M11" s="473"/>
      <c r="N11" s="474"/>
      <c r="O11" s="467">
        <v>0.45833333333333331</v>
      </c>
      <c r="P11" s="464" t="s">
        <v>252</v>
      </c>
      <c r="Q11" s="465"/>
      <c r="R11" s="468"/>
      <c r="S11" s="463"/>
      <c r="T11" s="464"/>
      <c r="U11" s="465"/>
      <c r="V11" s="466"/>
    </row>
    <row r="12" spans="2:30" ht="30.75" customHeight="1" thickBot="1" x14ac:dyDescent="0.35">
      <c r="B12" s="1088"/>
      <c r="C12" s="203"/>
      <c r="D12" s="204"/>
      <c r="E12" s="205"/>
      <c r="F12" s="206"/>
      <c r="G12" s="72"/>
      <c r="H12" s="70"/>
      <c r="I12" s="71"/>
      <c r="J12" s="74"/>
      <c r="K12" s="475"/>
      <c r="L12" s="476" t="s">
        <v>255</v>
      </c>
      <c r="M12" s="477"/>
      <c r="N12" s="478"/>
      <c r="O12" s="303"/>
      <c r="P12" s="70"/>
      <c r="Q12" s="71"/>
      <c r="R12" s="73"/>
      <c r="S12" s="72"/>
      <c r="T12" s="70"/>
      <c r="U12" s="71"/>
      <c r="V12" s="74"/>
    </row>
    <row r="13" spans="2:30" ht="30.75" customHeight="1" thickTop="1" thickBot="1" x14ac:dyDescent="0.35">
      <c r="B13" s="18" t="s">
        <v>13</v>
      </c>
      <c r="C13" s="247"/>
      <c r="D13" s="235"/>
      <c r="E13" s="236"/>
      <c r="F13" s="248"/>
      <c r="G13" s="13"/>
      <c r="H13" s="11"/>
      <c r="I13" s="12"/>
      <c r="J13" s="14"/>
      <c r="K13" s="22"/>
      <c r="L13" s="20"/>
      <c r="M13" s="21"/>
      <c r="N13" s="23"/>
      <c r="O13" s="13"/>
      <c r="P13" s="11"/>
      <c r="Q13" s="12"/>
      <c r="R13" s="14"/>
      <c r="S13" s="24"/>
      <c r="T13" s="20"/>
      <c r="U13" s="21"/>
      <c r="V13" s="25"/>
      <c r="AD13" s="1" t="s">
        <v>240</v>
      </c>
    </row>
    <row r="14" spans="2:30" ht="30.75" customHeight="1" thickTop="1" thickBot="1" x14ac:dyDescent="0.35">
      <c r="B14" s="35" t="s">
        <v>29</v>
      </c>
      <c r="C14" s="2">
        <f>S5+3</f>
        <v>9</v>
      </c>
      <c r="D14" s="3" t="s">
        <v>6</v>
      </c>
      <c r="E14" s="3" t="s">
        <v>7</v>
      </c>
      <c r="F14" s="4" t="s">
        <v>8</v>
      </c>
      <c r="G14" s="369">
        <f>C14+1</f>
        <v>10</v>
      </c>
      <c r="H14" s="349" t="s">
        <v>6</v>
      </c>
      <c r="I14" s="349" t="s">
        <v>7</v>
      </c>
      <c r="J14" s="371" t="s">
        <v>8</v>
      </c>
      <c r="K14" s="485">
        <f>G14+1</f>
        <v>11</v>
      </c>
      <c r="L14" s="486" t="s">
        <v>6</v>
      </c>
      <c r="M14" s="486" t="s">
        <v>7</v>
      </c>
      <c r="N14" s="487" t="s">
        <v>8</v>
      </c>
      <c r="O14" s="300">
        <f>K14+1</f>
        <v>12</v>
      </c>
      <c r="P14" s="3" t="s">
        <v>6</v>
      </c>
      <c r="Q14" s="3" t="s">
        <v>7</v>
      </c>
      <c r="R14" s="16" t="s">
        <v>8</v>
      </c>
      <c r="S14" s="485">
        <f>O14+1</f>
        <v>13</v>
      </c>
      <c r="T14" s="486" t="s">
        <v>6</v>
      </c>
      <c r="U14" s="486" t="s">
        <v>7</v>
      </c>
      <c r="V14" s="487" t="s">
        <v>8</v>
      </c>
    </row>
    <row r="15" spans="2:30" ht="30.75" customHeight="1" thickTop="1" x14ac:dyDescent="0.3">
      <c r="B15" s="1085" t="s">
        <v>9</v>
      </c>
      <c r="C15" s="36">
        <v>0.39583333333333331</v>
      </c>
      <c r="D15" s="37" t="s">
        <v>207</v>
      </c>
      <c r="E15" s="38"/>
      <c r="F15" s="449"/>
      <c r="G15" s="384">
        <v>0.39583333333333331</v>
      </c>
      <c r="H15" s="352" t="s">
        <v>221</v>
      </c>
      <c r="I15" s="353"/>
      <c r="J15" s="479"/>
      <c r="K15" s="488">
        <v>0.39583333333333331</v>
      </c>
      <c r="L15" s="37" t="s">
        <v>208</v>
      </c>
      <c r="M15" s="38"/>
      <c r="N15" s="489"/>
      <c r="O15" s="347">
        <v>0.39583333333333331</v>
      </c>
      <c r="P15" s="37" t="s">
        <v>198</v>
      </c>
      <c r="Q15" s="38"/>
      <c r="R15" s="43"/>
      <c r="S15" s="500">
        <v>0.375</v>
      </c>
      <c r="T15" s="255" t="s">
        <v>223</v>
      </c>
      <c r="U15" s="434"/>
      <c r="V15" s="501"/>
      <c r="Z15" s="503" t="s">
        <v>256</v>
      </c>
    </row>
    <row r="16" spans="2:30" ht="30.75" customHeight="1" thickBot="1" x14ac:dyDescent="0.35">
      <c r="B16" s="1085"/>
      <c r="C16" s="50">
        <v>0.45833333333333331</v>
      </c>
      <c r="D16" s="45" t="s">
        <v>243</v>
      </c>
      <c r="E16" s="46"/>
      <c r="F16" s="450"/>
      <c r="G16" s="451">
        <v>0.58333333333333337</v>
      </c>
      <c r="H16" s="452" t="s">
        <v>235</v>
      </c>
      <c r="I16" s="453"/>
      <c r="J16" s="480"/>
      <c r="K16" s="490">
        <v>0.5625</v>
      </c>
      <c r="L16" s="45" t="s">
        <v>203</v>
      </c>
      <c r="M16" s="46"/>
      <c r="N16" s="491"/>
      <c r="O16" s="483"/>
      <c r="Q16" s="46"/>
      <c r="R16" s="52"/>
      <c r="S16" s="488">
        <v>0.45833333333333331</v>
      </c>
      <c r="T16" s="45" t="s">
        <v>242</v>
      </c>
      <c r="U16" s="46"/>
      <c r="V16" s="491"/>
    </row>
    <row r="17" spans="2:22" ht="30.75" customHeight="1" thickTop="1" x14ac:dyDescent="0.3">
      <c r="B17" s="1085"/>
      <c r="C17" s="504">
        <v>0.47916666666666669</v>
      </c>
      <c r="D17" s="505" t="s">
        <v>85</v>
      </c>
      <c r="E17" s="506"/>
      <c r="F17" s="507"/>
      <c r="G17" s="508"/>
      <c r="H17" s="509"/>
      <c r="I17" s="510"/>
      <c r="J17" s="511"/>
      <c r="K17" s="512"/>
      <c r="L17" s="505"/>
      <c r="M17" s="506"/>
      <c r="N17" s="513"/>
      <c r="O17" s="514"/>
      <c r="P17" s="505"/>
      <c r="Q17" s="506"/>
      <c r="R17" s="515"/>
      <c r="S17" s="516">
        <v>0.66666666666666663</v>
      </c>
      <c r="T17" s="505" t="s">
        <v>269</v>
      </c>
      <c r="U17" s="506"/>
      <c r="V17" s="513"/>
    </row>
    <row r="18" spans="2:22" ht="30.75" customHeight="1" x14ac:dyDescent="0.3">
      <c r="B18" s="1085"/>
      <c r="C18" s="517">
        <v>0.5625</v>
      </c>
      <c r="D18" s="518" t="s">
        <v>258</v>
      </c>
      <c r="E18" s="519"/>
      <c r="F18" s="520"/>
      <c r="G18" s="521"/>
      <c r="H18" s="518"/>
      <c r="I18" s="519"/>
      <c r="J18" s="522"/>
      <c r="K18" s="523"/>
      <c r="L18" s="518"/>
      <c r="M18" s="519"/>
      <c r="N18" s="524"/>
      <c r="O18" s="525"/>
      <c r="P18" s="518"/>
      <c r="Q18" s="519"/>
      <c r="R18" s="522"/>
      <c r="S18" s="526"/>
      <c r="T18" s="518"/>
      <c r="U18" s="519"/>
      <c r="V18" s="524"/>
    </row>
    <row r="19" spans="2:22" ht="42" customHeight="1" thickBot="1" x14ac:dyDescent="0.35">
      <c r="B19" s="1086"/>
      <c r="C19" s="1108" t="s">
        <v>257</v>
      </c>
      <c r="D19" s="1103"/>
      <c r="E19" s="1103"/>
      <c r="F19" s="1109"/>
      <c r="G19" s="1138"/>
      <c r="H19" s="1139"/>
      <c r="I19" s="1139"/>
      <c r="J19" s="1139"/>
      <c r="K19" s="1140" t="s">
        <v>249</v>
      </c>
      <c r="L19" s="1103"/>
      <c r="M19" s="1103"/>
      <c r="N19" s="1141"/>
      <c r="O19" s="1103"/>
      <c r="P19" s="1103"/>
      <c r="Q19" s="1103"/>
      <c r="R19" s="1103"/>
      <c r="S19" s="1142" t="s">
        <v>139</v>
      </c>
      <c r="T19" s="1103"/>
      <c r="U19" s="1103"/>
      <c r="V19" s="1141"/>
    </row>
    <row r="20" spans="2:22" ht="30.75" customHeight="1" thickTop="1" x14ac:dyDescent="0.3">
      <c r="B20" s="1079" t="s">
        <v>12</v>
      </c>
      <c r="C20" s="62">
        <v>0.39583333333333331</v>
      </c>
      <c r="D20" s="63" t="s">
        <v>202</v>
      </c>
      <c r="E20" s="64"/>
      <c r="F20" s="440"/>
      <c r="G20" s="444">
        <v>0.375</v>
      </c>
      <c r="H20" s="445">
        <v>7961</v>
      </c>
      <c r="I20" s="446"/>
      <c r="J20" s="481"/>
      <c r="K20" s="492">
        <v>0.39583333333333331</v>
      </c>
      <c r="L20" s="63" t="s">
        <v>201</v>
      </c>
      <c r="M20" s="64"/>
      <c r="N20" s="493"/>
      <c r="O20" s="302">
        <v>0.41666666666666669</v>
      </c>
      <c r="P20" s="63" t="s">
        <v>101</v>
      </c>
      <c r="Q20" s="64"/>
      <c r="R20" s="67"/>
      <c r="S20" s="492">
        <v>0.375</v>
      </c>
      <c r="T20" s="63" t="s">
        <v>143</v>
      </c>
      <c r="U20" s="64"/>
      <c r="V20" s="493"/>
    </row>
    <row r="21" spans="2:22" ht="30.75" customHeight="1" thickBot="1" x14ac:dyDescent="0.35">
      <c r="B21" s="1080"/>
      <c r="C21" s="69"/>
      <c r="D21" s="70"/>
      <c r="E21" s="71"/>
      <c r="F21" s="441"/>
      <c r="G21" s="448">
        <v>0.4375</v>
      </c>
      <c r="H21" s="359" t="s">
        <v>238</v>
      </c>
      <c r="I21" s="360"/>
      <c r="J21" s="482"/>
      <c r="K21" s="494"/>
      <c r="L21" s="70"/>
      <c r="M21" s="71"/>
      <c r="N21" s="495"/>
      <c r="O21" s="303"/>
      <c r="P21" s="70"/>
      <c r="Q21" s="71"/>
      <c r="R21" s="74"/>
      <c r="S21" s="494">
        <v>0.47222222222222221</v>
      </c>
      <c r="T21" s="70" t="s">
        <v>37</v>
      </c>
      <c r="U21" s="71"/>
      <c r="V21" s="495"/>
    </row>
    <row r="22" spans="2:22" ht="30.75" customHeight="1" thickTop="1" thickBot="1" x14ac:dyDescent="0.35">
      <c r="B22" s="9" t="s">
        <v>13</v>
      </c>
      <c r="C22" s="10"/>
      <c r="D22" s="11"/>
      <c r="E22" s="12"/>
      <c r="F22" s="9"/>
      <c r="G22" s="13"/>
      <c r="H22" s="11"/>
      <c r="I22" s="12"/>
      <c r="J22" s="17"/>
      <c r="K22" s="496"/>
      <c r="L22" s="497"/>
      <c r="M22" s="498"/>
      <c r="N22" s="499"/>
      <c r="O22" s="304"/>
      <c r="P22" s="11"/>
      <c r="Q22" s="12"/>
      <c r="R22" s="17"/>
      <c r="S22" s="502"/>
      <c r="T22" s="497"/>
      <c r="U22" s="498"/>
      <c r="V22" s="499"/>
    </row>
    <row r="23" spans="2:22" ht="30.75" customHeight="1" thickTop="1" thickBot="1" x14ac:dyDescent="0.35">
      <c r="B23" s="35" t="s">
        <v>30</v>
      </c>
      <c r="C23" s="2">
        <f>S14+3</f>
        <v>16</v>
      </c>
      <c r="D23" s="3" t="s">
        <v>6</v>
      </c>
      <c r="E23" s="3" t="s">
        <v>7</v>
      </c>
      <c r="F23" s="4" t="s">
        <v>8</v>
      </c>
      <c r="G23" s="5">
        <f>C23+1</f>
        <v>17</v>
      </c>
      <c r="H23" s="3" t="s">
        <v>6</v>
      </c>
      <c r="I23" s="3" t="s">
        <v>7</v>
      </c>
      <c r="J23" s="6" t="s">
        <v>8</v>
      </c>
      <c r="K23" s="282">
        <f>G23+1</f>
        <v>18</v>
      </c>
      <c r="L23" s="283" t="s">
        <v>6</v>
      </c>
      <c r="M23" s="283" t="s">
        <v>7</v>
      </c>
      <c r="N23" s="484" t="s">
        <v>8</v>
      </c>
      <c r="O23" s="5">
        <f>K23+1</f>
        <v>19</v>
      </c>
      <c r="P23" s="3" t="s">
        <v>6</v>
      </c>
      <c r="Q23" s="3" t="s">
        <v>7</v>
      </c>
      <c r="R23" s="6" t="s">
        <v>8</v>
      </c>
      <c r="S23" s="282">
        <f>O23+1</f>
        <v>20</v>
      </c>
      <c r="T23" s="283" t="s">
        <v>6</v>
      </c>
      <c r="U23" s="283" t="s">
        <v>7</v>
      </c>
      <c r="V23" s="284" t="s">
        <v>8</v>
      </c>
    </row>
    <row r="24" spans="2:22" ht="30.75" customHeight="1" thickTop="1" x14ac:dyDescent="0.3">
      <c r="B24" s="1085" t="s">
        <v>9</v>
      </c>
      <c r="C24" s="36">
        <v>0.39583333333333331</v>
      </c>
      <c r="D24" s="37" t="s">
        <v>193</v>
      </c>
      <c r="E24" s="38"/>
      <c r="F24" s="39"/>
      <c r="G24" s="40">
        <v>0.39583333333333331</v>
      </c>
      <c r="H24" s="37" t="s">
        <v>209</v>
      </c>
      <c r="I24" s="38"/>
      <c r="J24" s="41"/>
      <c r="K24" s="40">
        <v>0.39583333333333331</v>
      </c>
      <c r="L24" s="37" t="s">
        <v>141</v>
      </c>
      <c r="M24" s="38"/>
      <c r="N24" s="41"/>
      <c r="O24" s="40">
        <v>0.39583333333333331</v>
      </c>
      <c r="P24" s="37" t="s">
        <v>229</v>
      </c>
      <c r="Q24" s="38"/>
      <c r="R24" s="41"/>
      <c r="S24" s="40">
        <v>0.39583333333333331</v>
      </c>
      <c r="T24" s="37" t="s">
        <v>154</v>
      </c>
      <c r="U24" s="38"/>
      <c r="V24" s="43"/>
    </row>
    <row r="25" spans="2:22" ht="30.75" customHeight="1" x14ac:dyDescent="0.3">
      <c r="B25" s="1085"/>
      <c r="C25" s="240">
        <v>0.4375</v>
      </c>
      <c r="D25" s="45" t="s">
        <v>164</v>
      </c>
      <c r="E25" s="46"/>
      <c r="F25" s="47"/>
      <c r="G25" s="48"/>
      <c r="H25" s="45"/>
      <c r="I25" s="46"/>
      <c r="J25" s="49"/>
      <c r="K25" s="50"/>
      <c r="L25" s="45"/>
      <c r="M25" s="46"/>
      <c r="N25" s="49"/>
      <c r="O25" s="50"/>
      <c r="P25" s="45"/>
      <c r="Q25" s="46"/>
      <c r="R25" s="49"/>
      <c r="S25" s="48"/>
      <c r="T25" s="45"/>
      <c r="U25" s="46"/>
      <c r="V25" s="52"/>
    </row>
    <row r="26" spans="2:22" ht="30.75" customHeight="1" x14ac:dyDescent="0.3">
      <c r="B26" s="1085"/>
      <c r="C26" s="53"/>
      <c r="D26" s="54"/>
      <c r="E26" s="55"/>
      <c r="F26" s="56"/>
      <c r="G26" s="57"/>
      <c r="H26" s="54"/>
      <c r="I26" s="55"/>
      <c r="J26" s="58"/>
      <c r="K26" s="57"/>
      <c r="L26" s="54"/>
      <c r="M26" s="55"/>
      <c r="N26" s="58"/>
      <c r="O26" s="57"/>
      <c r="P26" s="54"/>
      <c r="Q26" s="55"/>
      <c r="R26" s="58"/>
      <c r="S26" s="57"/>
      <c r="T26" s="54"/>
      <c r="U26" s="55"/>
      <c r="V26" s="60"/>
    </row>
    <row r="27" spans="2:22" ht="42" customHeight="1" x14ac:dyDescent="0.3">
      <c r="B27" s="1086"/>
      <c r="C27" s="1108"/>
      <c r="D27" s="1103"/>
      <c r="E27" s="1103"/>
      <c r="F27" s="1109"/>
      <c r="G27" s="1102" t="s">
        <v>245</v>
      </c>
      <c r="H27" s="1103"/>
      <c r="I27" s="1103"/>
      <c r="J27" s="1109"/>
      <c r="K27" s="1102"/>
      <c r="L27" s="1103"/>
      <c r="M27" s="1103"/>
      <c r="N27" s="1109"/>
      <c r="O27" s="1102" t="s">
        <v>271</v>
      </c>
      <c r="P27" s="1103"/>
      <c r="Q27" s="1103"/>
      <c r="R27" s="1109"/>
      <c r="S27" s="1102"/>
      <c r="T27" s="1103"/>
      <c r="U27" s="1103"/>
      <c r="V27" s="1103"/>
    </row>
    <row r="28" spans="2:22" ht="30.75" customHeight="1" x14ac:dyDescent="0.3">
      <c r="B28" s="1079" t="s">
        <v>12</v>
      </c>
      <c r="C28" s="62">
        <v>0.4375</v>
      </c>
      <c r="D28" s="63" t="s">
        <v>236</v>
      </c>
      <c r="E28" s="64"/>
      <c r="F28" s="61"/>
      <c r="G28" s="65">
        <v>0.39583333333333331</v>
      </c>
      <c r="H28" s="63" t="s">
        <v>199</v>
      </c>
      <c r="I28" s="64"/>
      <c r="J28" s="66"/>
      <c r="K28" s="65">
        <v>0.41666666666666669</v>
      </c>
      <c r="L28" s="63" t="s">
        <v>228</v>
      </c>
      <c r="M28" s="64"/>
      <c r="N28" s="66"/>
      <c r="O28" s="65">
        <v>0.39583333333333331</v>
      </c>
      <c r="P28" s="63" t="s">
        <v>230</v>
      </c>
      <c r="Q28" s="64"/>
      <c r="R28" s="66"/>
      <c r="S28" s="65">
        <v>0.39583333333333331</v>
      </c>
      <c r="T28" s="63" t="s">
        <v>251</v>
      </c>
      <c r="U28" s="64"/>
      <c r="V28" s="67"/>
    </row>
    <row r="29" spans="2:22" ht="30.75" customHeight="1" x14ac:dyDescent="0.3">
      <c r="B29" s="1080"/>
      <c r="C29" s="69"/>
      <c r="D29" s="70"/>
      <c r="E29" s="71"/>
      <c r="F29" s="68"/>
      <c r="G29" s="72"/>
      <c r="H29" s="70"/>
      <c r="I29" s="71"/>
      <c r="J29" s="73"/>
      <c r="K29" s="72">
        <v>0.625</v>
      </c>
      <c r="L29" s="70" t="s">
        <v>106</v>
      </c>
      <c r="M29" s="71"/>
      <c r="N29" s="73"/>
      <c r="O29" s="72"/>
      <c r="P29" s="70"/>
      <c r="Q29" s="71"/>
      <c r="R29" s="73"/>
      <c r="S29" s="72">
        <v>0.38541666666666669</v>
      </c>
      <c r="T29" s="70" t="s">
        <v>94</v>
      </c>
      <c r="U29" s="71"/>
      <c r="V29" s="74"/>
    </row>
    <row r="30" spans="2:22" ht="30.75" customHeight="1" x14ac:dyDescent="0.3">
      <c r="B30" s="9" t="s">
        <v>13</v>
      </c>
      <c r="C30" s="10"/>
      <c r="D30" s="11"/>
      <c r="E30" s="12"/>
      <c r="F30" s="9"/>
      <c r="G30" s="13"/>
      <c r="H30" s="11"/>
      <c r="I30" s="12"/>
      <c r="J30" s="14"/>
      <c r="K30" s="13"/>
      <c r="L30" s="11"/>
      <c r="M30" s="12"/>
      <c r="N30" s="14"/>
      <c r="O30" s="13"/>
      <c r="P30" s="11"/>
      <c r="Q30" s="12"/>
      <c r="R30" s="14"/>
      <c r="S30" s="15"/>
      <c r="T30" s="11"/>
      <c r="U30" s="12"/>
      <c r="V30" s="17"/>
    </row>
    <row r="31" spans="2:22" ht="30.75" customHeight="1" thickBot="1" x14ac:dyDescent="0.35">
      <c r="B31" s="35" t="s">
        <v>31</v>
      </c>
      <c r="C31" s="2">
        <f>S23+3</f>
        <v>23</v>
      </c>
      <c r="D31" s="3" t="s">
        <v>6</v>
      </c>
      <c r="E31" s="3" t="s">
        <v>7</v>
      </c>
      <c r="F31" s="4" t="s">
        <v>8</v>
      </c>
      <c r="G31" s="5">
        <f>C31+1</f>
        <v>24</v>
      </c>
      <c r="H31" s="3" t="s">
        <v>6</v>
      </c>
      <c r="I31" s="3" t="s">
        <v>7</v>
      </c>
      <c r="J31" s="6" t="s">
        <v>8</v>
      </c>
      <c r="K31" s="5">
        <f>G31+1</f>
        <v>25</v>
      </c>
      <c r="L31" s="3" t="s">
        <v>6</v>
      </c>
      <c r="M31" s="3" t="s">
        <v>7</v>
      </c>
      <c r="N31" s="6" t="s">
        <v>8</v>
      </c>
      <c r="O31" s="369">
        <f>K31+1</f>
        <v>26</v>
      </c>
      <c r="P31" s="349" t="s">
        <v>6</v>
      </c>
      <c r="Q31" s="349" t="s">
        <v>7</v>
      </c>
      <c r="R31" s="370" t="s">
        <v>8</v>
      </c>
      <c r="S31" s="369">
        <f>O31+1</f>
        <v>27</v>
      </c>
      <c r="T31" s="349" t="s">
        <v>6</v>
      </c>
      <c r="U31" s="349" t="s">
        <v>7</v>
      </c>
      <c r="V31" s="371" t="s">
        <v>8</v>
      </c>
    </row>
    <row r="32" spans="2:22" ht="30.75" customHeight="1" thickTop="1" x14ac:dyDescent="0.3">
      <c r="B32" s="1085" t="s">
        <v>9</v>
      </c>
      <c r="C32" s="36">
        <v>0.41666666666666669</v>
      </c>
      <c r="D32" s="37" t="s">
        <v>42</v>
      </c>
      <c r="E32" s="38"/>
      <c r="F32" s="39"/>
      <c r="G32" s="40">
        <v>0.39583333333333331</v>
      </c>
      <c r="H32" s="37" t="s">
        <v>267</v>
      </c>
      <c r="I32" s="38"/>
      <c r="J32" s="41"/>
      <c r="K32" s="40">
        <v>0.375</v>
      </c>
      <c r="L32" s="37" t="s">
        <v>205</v>
      </c>
      <c r="M32" s="38"/>
      <c r="N32" s="43"/>
      <c r="O32" s="532">
        <v>0.41666666666666669</v>
      </c>
      <c r="P32" s="533" t="s">
        <v>268</v>
      </c>
      <c r="Q32" s="534"/>
      <c r="R32" s="535"/>
      <c r="S32" s="536"/>
      <c r="T32" s="533"/>
      <c r="U32" s="534"/>
      <c r="V32" s="537"/>
    </row>
    <row r="33" spans="2:22" ht="30.75" customHeight="1" x14ac:dyDescent="0.3">
      <c r="B33" s="1085"/>
      <c r="C33" s="240"/>
      <c r="D33" s="45"/>
      <c r="E33" s="46"/>
      <c r="F33" s="47"/>
      <c r="G33" s="48"/>
      <c r="H33" s="45"/>
      <c r="I33" s="46"/>
      <c r="J33" s="49"/>
      <c r="K33" s="50"/>
      <c r="L33" s="45"/>
      <c r="M33" s="46"/>
      <c r="N33" s="52"/>
      <c r="O33" s="538"/>
      <c r="P33" s="45"/>
      <c r="Q33" s="46"/>
      <c r="R33" s="49"/>
      <c r="S33" s="48"/>
      <c r="T33" s="45"/>
      <c r="U33" s="46"/>
      <c r="V33" s="539"/>
    </row>
    <row r="34" spans="2:22" ht="30.75" customHeight="1" x14ac:dyDescent="0.3">
      <c r="B34" s="1085"/>
      <c r="C34" s="53"/>
      <c r="D34" s="54"/>
      <c r="E34" s="55"/>
      <c r="F34" s="56"/>
      <c r="G34" s="57"/>
      <c r="H34" s="54"/>
      <c r="I34" s="55"/>
      <c r="J34" s="58"/>
      <c r="K34" s="57"/>
      <c r="L34" s="54"/>
      <c r="M34" s="55"/>
      <c r="N34" s="58"/>
      <c r="O34" s="540"/>
      <c r="P34" s="54"/>
      <c r="Q34" s="55"/>
      <c r="R34" s="58"/>
      <c r="S34" s="57"/>
      <c r="T34" s="54"/>
      <c r="U34" s="55"/>
      <c r="V34" s="541"/>
    </row>
    <row r="35" spans="2:22" ht="42" customHeight="1" x14ac:dyDescent="0.3">
      <c r="B35" s="1086"/>
      <c r="C35" s="1108"/>
      <c r="D35" s="1103"/>
      <c r="E35" s="1103"/>
      <c r="F35" s="1109"/>
      <c r="G35" s="1102"/>
      <c r="H35" s="1103"/>
      <c r="I35" s="1103"/>
      <c r="J35" s="1109"/>
      <c r="O35" s="1135"/>
      <c r="P35" s="1103"/>
      <c r="Q35" s="1103"/>
      <c r="R35" s="1109"/>
      <c r="S35" s="1102" t="s">
        <v>250</v>
      </c>
      <c r="T35" s="1103"/>
      <c r="U35" s="1103"/>
      <c r="V35" s="1136"/>
    </row>
    <row r="36" spans="2:22" ht="30.75" customHeight="1" x14ac:dyDescent="0.3">
      <c r="B36" s="1079" t="s">
        <v>12</v>
      </c>
      <c r="C36" s="62">
        <v>0.39583333333333331</v>
      </c>
      <c r="D36" s="63" t="s">
        <v>200</v>
      </c>
      <c r="E36" s="64"/>
      <c r="F36" s="61"/>
      <c r="G36" s="65">
        <v>0.4375</v>
      </c>
      <c r="H36" s="63" t="s">
        <v>244</v>
      </c>
      <c r="I36" s="64"/>
      <c r="J36" s="66"/>
      <c r="K36" s="65">
        <v>0.39583333333333331</v>
      </c>
      <c r="L36" s="63" t="s">
        <v>204</v>
      </c>
      <c r="M36" s="64"/>
      <c r="N36" s="67"/>
      <c r="O36" s="542"/>
      <c r="P36" s="63"/>
      <c r="Q36" s="64"/>
      <c r="R36" s="66"/>
      <c r="S36" s="65"/>
      <c r="T36" s="63"/>
      <c r="U36" s="64"/>
      <c r="V36" s="543"/>
    </row>
    <row r="37" spans="2:22" ht="30.75" customHeight="1" x14ac:dyDescent="0.3">
      <c r="B37" s="1080"/>
      <c r="C37" s="69"/>
      <c r="D37" s="70"/>
      <c r="E37" s="71"/>
      <c r="F37" s="68"/>
      <c r="G37" s="72"/>
      <c r="H37" s="70"/>
      <c r="I37" s="71"/>
      <c r="J37" s="73"/>
      <c r="K37" s="72"/>
      <c r="L37" s="70"/>
      <c r="M37" s="71"/>
      <c r="N37" s="74"/>
      <c r="O37" s="544"/>
      <c r="P37" s="70"/>
      <c r="Q37" s="71"/>
      <c r="R37" s="73"/>
      <c r="S37" s="72"/>
      <c r="T37" s="70"/>
      <c r="U37" s="71"/>
      <c r="V37" s="545"/>
    </row>
    <row r="38" spans="2:22" ht="30.75" customHeight="1" thickBot="1" x14ac:dyDescent="0.35">
      <c r="B38" s="9" t="s">
        <v>13</v>
      </c>
      <c r="C38" s="10"/>
      <c r="D38" s="11"/>
      <c r="E38" s="12"/>
      <c r="F38" s="9"/>
      <c r="G38" s="13"/>
      <c r="H38" s="11"/>
      <c r="I38" s="12"/>
      <c r="J38" s="14"/>
      <c r="K38" s="13"/>
      <c r="L38" s="11"/>
      <c r="M38" s="12"/>
      <c r="N38" s="17"/>
      <c r="O38" s="546"/>
      <c r="P38" s="547"/>
      <c r="Q38" s="548"/>
      <c r="R38" s="549"/>
      <c r="S38" s="550"/>
      <c r="T38" s="547"/>
      <c r="U38" s="548"/>
      <c r="V38" s="551"/>
    </row>
    <row r="39" spans="2:22" ht="30.75" customHeight="1" thickBot="1" x14ac:dyDescent="0.35">
      <c r="B39" s="35" t="s">
        <v>32</v>
      </c>
      <c r="C39" s="2">
        <f>S31+3</f>
        <v>30</v>
      </c>
      <c r="D39" s="3" t="s">
        <v>6</v>
      </c>
      <c r="E39" s="3" t="s">
        <v>7</v>
      </c>
      <c r="F39" s="4" t="s">
        <v>8</v>
      </c>
      <c r="G39" s="208"/>
      <c r="H39" s="209"/>
      <c r="I39" s="209"/>
      <c r="J39" s="210"/>
      <c r="K39" s="208"/>
      <c r="L39" s="209"/>
      <c r="M39" s="209"/>
      <c r="N39" s="210"/>
      <c r="O39" s="528"/>
      <c r="P39" s="529"/>
      <c r="Q39" s="529"/>
      <c r="R39" s="530"/>
      <c r="S39" s="528"/>
      <c r="T39" s="529"/>
      <c r="U39" s="529"/>
      <c r="V39" s="531"/>
    </row>
    <row r="40" spans="2:22" ht="30.75" customHeight="1" thickTop="1" x14ac:dyDescent="0.3">
      <c r="B40" s="1085" t="s">
        <v>9</v>
      </c>
      <c r="C40" s="36">
        <v>0.40277777777777779</v>
      </c>
      <c r="D40" s="37" t="s">
        <v>241</v>
      </c>
      <c r="E40" s="38"/>
      <c r="F40" s="39"/>
      <c r="G40" s="212"/>
      <c r="H40" s="213"/>
      <c r="I40" s="214"/>
      <c r="J40" s="215"/>
      <c r="K40" s="212"/>
      <c r="L40" s="213"/>
      <c r="M40" s="214"/>
      <c r="N40" s="215"/>
      <c r="O40" s="212"/>
      <c r="P40" s="213"/>
      <c r="Q40" s="214"/>
      <c r="R40" s="215"/>
      <c r="S40" s="212"/>
      <c r="T40" s="213"/>
      <c r="U40" s="214"/>
      <c r="V40" s="216"/>
    </row>
    <row r="41" spans="2:22" ht="30.75" customHeight="1" x14ac:dyDescent="0.3">
      <c r="B41" s="1085"/>
      <c r="C41" s="240"/>
      <c r="D41" s="45"/>
      <c r="E41" s="46"/>
      <c r="F41" s="47"/>
      <c r="G41" s="217"/>
      <c r="H41" s="218"/>
      <c r="I41" s="219"/>
      <c r="J41" s="220"/>
      <c r="K41" s="217"/>
      <c r="L41" s="218"/>
      <c r="M41" s="219"/>
      <c r="N41" s="220"/>
      <c r="O41" s="217"/>
      <c r="P41" s="218"/>
      <c r="Q41" s="219"/>
      <c r="R41" s="220"/>
      <c r="S41" s="221"/>
      <c r="T41" s="218"/>
      <c r="U41" s="219"/>
      <c r="V41" s="222"/>
    </row>
    <row r="42" spans="2:22" ht="30.75" customHeight="1" x14ac:dyDescent="0.3">
      <c r="B42" s="1085"/>
      <c r="C42" s="53"/>
      <c r="D42" s="54"/>
      <c r="E42" s="55"/>
      <c r="F42" s="56"/>
      <c r="G42" s="223"/>
      <c r="H42" s="224"/>
      <c r="I42" s="225"/>
      <c r="J42" s="226"/>
      <c r="K42" s="223"/>
      <c r="L42" s="224"/>
      <c r="M42" s="225"/>
      <c r="N42" s="226"/>
      <c r="O42" s="223"/>
      <c r="P42" s="224"/>
      <c r="Q42" s="225"/>
      <c r="R42" s="226"/>
      <c r="S42" s="223"/>
      <c r="T42" s="224"/>
      <c r="U42" s="225"/>
      <c r="V42" s="227"/>
    </row>
    <row r="43" spans="2:22" ht="42" customHeight="1" x14ac:dyDescent="0.3">
      <c r="B43" s="1086"/>
      <c r="C43" s="1132" t="s">
        <v>275</v>
      </c>
      <c r="D43" s="1133"/>
      <c r="E43" s="1133"/>
      <c r="F43" s="1134"/>
      <c r="G43" s="1121"/>
      <c r="H43" s="1122"/>
      <c r="I43" s="1122"/>
      <c r="J43" s="1123"/>
      <c r="K43" s="1121"/>
      <c r="L43" s="1122"/>
      <c r="M43" s="1122"/>
      <c r="N43" s="1123"/>
      <c r="O43" s="1121"/>
      <c r="P43" s="1122"/>
      <c r="Q43" s="1122"/>
      <c r="R43" s="1123"/>
      <c r="S43" s="1121"/>
      <c r="T43" s="1122"/>
      <c r="U43" s="1122"/>
      <c r="V43" s="1122"/>
    </row>
    <row r="44" spans="2:22" ht="30.75" customHeight="1" x14ac:dyDescent="0.3">
      <c r="B44" s="1079" t="s">
        <v>12</v>
      </c>
      <c r="C44" s="62"/>
      <c r="D44" s="63"/>
      <c r="E44" s="64"/>
      <c r="F44" s="61"/>
      <c r="G44" s="228"/>
      <c r="H44" s="200"/>
      <c r="I44" s="201"/>
      <c r="J44" s="229"/>
      <c r="K44" s="228"/>
      <c r="L44" s="200"/>
      <c r="M44" s="201"/>
      <c r="N44" s="229"/>
      <c r="O44" s="228"/>
      <c r="P44" s="200"/>
      <c r="Q44" s="201"/>
      <c r="R44" s="229"/>
      <c r="S44" s="228"/>
      <c r="T44" s="200"/>
      <c r="U44" s="201"/>
      <c r="V44" s="230"/>
    </row>
    <row r="45" spans="2:22" ht="30.75" customHeight="1" x14ac:dyDescent="0.3">
      <c r="B45" s="1080"/>
      <c r="C45" s="69"/>
      <c r="D45" s="70"/>
      <c r="E45" s="71"/>
      <c r="F45" s="68"/>
      <c r="G45" s="231"/>
      <c r="H45" s="204"/>
      <c r="I45" s="205"/>
      <c r="J45" s="232"/>
      <c r="K45" s="231"/>
      <c r="L45" s="204"/>
      <c r="M45" s="205"/>
      <c r="N45" s="232"/>
      <c r="O45" s="231"/>
      <c r="P45" s="204"/>
      <c r="Q45" s="205"/>
      <c r="R45" s="232"/>
      <c r="S45" s="231"/>
      <c r="T45" s="204"/>
      <c r="U45" s="205"/>
      <c r="V45" s="233"/>
    </row>
    <row r="46" spans="2:22" ht="30.75" customHeight="1" x14ac:dyDescent="0.3">
      <c r="B46" s="9" t="s">
        <v>13</v>
      </c>
      <c r="C46" s="10"/>
      <c r="D46" s="11"/>
      <c r="E46" s="12"/>
      <c r="F46" s="9"/>
      <c r="G46" s="234"/>
      <c r="H46" s="235"/>
      <c r="I46" s="236"/>
      <c r="J46" s="237"/>
      <c r="K46" s="234"/>
      <c r="L46" s="235"/>
      <c r="M46" s="236"/>
      <c r="N46" s="237"/>
      <c r="O46" s="234"/>
      <c r="P46" s="235"/>
      <c r="Q46" s="236"/>
      <c r="R46" s="237"/>
      <c r="S46" s="238"/>
      <c r="T46" s="235"/>
      <c r="U46" s="236"/>
      <c r="V46" s="239"/>
    </row>
  </sheetData>
  <mergeCells count="40">
    <mergeCell ref="C4:F4"/>
    <mergeCell ref="G4:J4"/>
    <mergeCell ref="K4:N4"/>
    <mergeCell ref="O4:R4"/>
    <mergeCell ref="S4:V4"/>
    <mergeCell ref="S9:V9"/>
    <mergeCell ref="B10:B12"/>
    <mergeCell ref="B15:B19"/>
    <mergeCell ref="C19:F19"/>
    <mergeCell ref="G19:J19"/>
    <mergeCell ref="K19:N19"/>
    <mergeCell ref="O19:R19"/>
    <mergeCell ref="S19:V19"/>
    <mergeCell ref="B6:B9"/>
    <mergeCell ref="C9:F9"/>
    <mergeCell ref="G9:J9"/>
    <mergeCell ref="K9:N9"/>
    <mergeCell ref="O9:R9"/>
    <mergeCell ref="P7:R7"/>
    <mergeCell ref="B20:B21"/>
    <mergeCell ref="B24:B27"/>
    <mergeCell ref="C27:F27"/>
    <mergeCell ref="G27:J27"/>
    <mergeCell ref="K27:N27"/>
    <mergeCell ref="S27:V27"/>
    <mergeCell ref="B28:B29"/>
    <mergeCell ref="B32:B35"/>
    <mergeCell ref="C35:F35"/>
    <mergeCell ref="G35:J35"/>
    <mergeCell ref="O35:R35"/>
    <mergeCell ref="S35:V35"/>
    <mergeCell ref="O27:R27"/>
    <mergeCell ref="S43:V43"/>
    <mergeCell ref="B44:B45"/>
    <mergeCell ref="B36:B37"/>
    <mergeCell ref="B40:B43"/>
    <mergeCell ref="C43:F43"/>
    <mergeCell ref="G43:J43"/>
    <mergeCell ref="K43:N43"/>
    <mergeCell ref="O43:R43"/>
  </mergeCells>
  <phoneticPr fontId="2" type="noConversion"/>
  <conditionalFormatting sqref="A1:XFD6 A7:P7 S7:XFD7 A8:XFD15 A16:O16 Q16:XFD16 A17:XFD34 A35:J35 O35:XFD35 A36:XFD1048576">
    <cfRule type="containsText" dxfId="95" priority="1" operator="containsText" text="현대홈 경기">
      <formula>NOT(ISERROR(SEARCH("현대홈 경기",A1)))</formula>
    </cfRule>
    <cfRule type="containsText" dxfId="94" priority="2" operator="containsText" text="더베스트 이재명">
      <formula>NOT(ISERROR(SEARCH("더베스트 이재명",A1)))</formula>
    </cfRule>
    <cfRule type="containsText" dxfId="93" priority="3" operator="containsText" text="더베스트 김효제">
      <formula>NOT(ISERROR(SEARCH("더베스트 김효제",A1)))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E47"/>
  <sheetViews>
    <sheetView showGridLines="0" zoomScale="55" zoomScaleNormal="55" workbookViewId="0">
      <selection activeCell="L26" sqref="L26"/>
    </sheetView>
  </sheetViews>
  <sheetFormatPr defaultRowHeight="30.75" customHeight="1" x14ac:dyDescent="0.3"/>
  <cols>
    <col min="1" max="1" width="2.375" style="1" customWidth="1"/>
    <col min="2" max="2" width="14" style="1" customWidth="1"/>
    <col min="3" max="3" width="8.375" style="1" customWidth="1"/>
    <col min="4" max="4" width="25.375" style="1" customWidth="1"/>
    <col min="5" max="6" width="9.125" style="1" customWidth="1"/>
    <col min="7" max="7" width="7.75" style="1" customWidth="1"/>
    <col min="8" max="8" width="25.375" style="1" customWidth="1"/>
    <col min="9" max="10" width="9.125" style="1" customWidth="1"/>
    <col min="11" max="11" width="7.75" style="1" customWidth="1"/>
    <col min="12" max="12" width="25.375" style="1" customWidth="1"/>
    <col min="13" max="14" width="9.125" style="1" customWidth="1"/>
    <col min="15" max="15" width="7.75" style="1" customWidth="1"/>
    <col min="16" max="16" width="25.375" style="1" customWidth="1"/>
    <col min="17" max="18" width="9.125" style="1" customWidth="1"/>
    <col min="19" max="19" width="7.75" style="1" customWidth="1"/>
    <col min="20" max="20" width="25.375" style="1" customWidth="1"/>
    <col min="21" max="22" width="9.125" style="1" customWidth="1"/>
    <col min="23" max="23" width="2.375" style="1" customWidth="1"/>
    <col min="24" max="24" width="4.125" style="1" customWidth="1"/>
    <col min="25" max="25" width="9" style="1"/>
    <col min="26" max="28" width="9.75" style="1" customWidth="1"/>
    <col min="29" max="31" width="12.375" style="1" customWidth="1"/>
    <col min="32" max="16384" width="9" style="1"/>
  </cols>
  <sheetData>
    <row r="1" spans="2:31" ht="11.25" customHeight="1" x14ac:dyDescent="0.3">
      <c r="B1" s="207"/>
    </row>
    <row r="2" spans="2:31" ht="65.25" customHeight="1" thickBot="1" x14ac:dyDescent="0.35">
      <c r="B2" s="612" t="s">
        <v>90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AC2" s="605"/>
    </row>
    <row r="3" spans="2:31" ht="30.75" customHeight="1" thickTop="1" x14ac:dyDescent="0.3">
      <c r="B3" s="431" t="s">
        <v>344</v>
      </c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7"/>
      <c r="S3" s="527"/>
      <c r="T3" s="527"/>
      <c r="U3" s="527"/>
      <c r="V3" s="527"/>
    </row>
    <row r="4" spans="2:31" ht="30.75" customHeight="1" thickBot="1" x14ac:dyDescent="0.35">
      <c r="B4" s="4" t="s">
        <v>0</v>
      </c>
      <c r="C4" s="1077" t="s">
        <v>1</v>
      </c>
      <c r="D4" s="1077"/>
      <c r="E4" s="1077"/>
      <c r="F4" s="1077"/>
      <c r="G4" s="1077" t="s">
        <v>2</v>
      </c>
      <c r="H4" s="1077"/>
      <c r="I4" s="1077"/>
      <c r="J4" s="1077"/>
      <c r="K4" s="1149" t="s">
        <v>3</v>
      </c>
      <c r="L4" s="1149"/>
      <c r="M4" s="1149"/>
      <c r="N4" s="1149"/>
      <c r="O4" s="1077" t="s">
        <v>4</v>
      </c>
      <c r="P4" s="1077"/>
      <c r="Q4" s="1077"/>
      <c r="R4" s="1077"/>
      <c r="S4" s="1149" t="s">
        <v>5</v>
      </c>
      <c r="T4" s="1149"/>
      <c r="U4" s="1149"/>
      <c r="V4" s="1150"/>
    </row>
    <row r="5" spans="2:31" ht="30.75" customHeight="1" thickTop="1" thickBot="1" x14ac:dyDescent="0.35">
      <c r="B5" s="34" t="s">
        <v>28</v>
      </c>
      <c r="C5" s="2"/>
      <c r="D5" s="3" t="s">
        <v>6</v>
      </c>
      <c r="E5" s="3" t="s">
        <v>7</v>
      </c>
      <c r="F5" s="4" t="s">
        <v>8</v>
      </c>
      <c r="G5" s="5"/>
      <c r="H5" s="3" t="s">
        <v>6</v>
      </c>
      <c r="I5" s="3" t="s">
        <v>7</v>
      </c>
      <c r="J5" s="16" t="s">
        <v>8</v>
      </c>
      <c r="K5" s="560">
        <v>1</v>
      </c>
      <c r="L5" s="561" t="s">
        <v>6</v>
      </c>
      <c r="M5" s="561" t="s">
        <v>7</v>
      </c>
      <c r="N5" s="562" t="s">
        <v>8</v>
      </c>
      <c r="O5" s="300">
        <f>K5+1</f>
        <v>2</v>
      </c>
      <c r="P5" s="3" t="s">
        <v>6</v>
      </c>
      <c r="Q5" s="3" t="s">
        <v>7</v>
      </c>
      <c r="R5" s="16" t="s">
        <v>8</v>
      </c>
      <c r="S5" s="560">
        <f>O5+1</f>
        <v>3</v>
      </c>
      <c r="T5" s="561" t="s">
        <v>6</v>
      </c>
      <c r="U5" s="561" t="s">
        <v>7</v>
      </c>
      <c r="V5" s="562" t="s">
        <v>8</v>
      </c>
    </row>
    <row r="6" spans="2:31" ht="30.75" customHeight="1" thickTop="1" x14ac:dyDescent="0.3">
      <c r="B6" s="1085" t="s">
        <v>9</v>
      </c>
      <c r="C6" s="241"/>
      <c r="D6" s="213"/>
      <c r="E6" s="214"/>
      <c r="F6" s="242"/>
      <c r="G6" s="212"/>
      <c r="H6" s="213"/>
      <c r="I6" s="214"/>
      <c r="J6" s="216"/>
      <c r="K6" s="563">
        <v>0.39583333333333331</v>
      </c>
      <c r="L6" s="37" t="s">
        <v>259</v>
      </c>
      <c r="M6" s="38"/>
      <c r="N6" s="564"/>
      <c r="O6" s="347">
        <v>0.39583333333333331</v>
      </c>
      <c r="P6" s="37" t="s">
        <v>206</v>
      </c>
      <c r="Q6" s="38"/>
      <c r="R6" s="43"/>
      <c r="S6" s="563">
        <v>0.39583333333333331</v>
      </c>
      <c r="T6" s="37" t="s">
        <v>290</v>
      </c>
      <c r="U6" s="38"/>
      <c r="V6" s="564"/>
      <c r="AC6" s="594" t="s">
        <v>276</v>
      </c>
      <c r="AD6" s="595"/>
      <c r="AE6" s="596"/>
    </row>
    <row r="7" spans="2:31" ht="30.75" customHeight="1" x14ac:dyDescent="0.3">
      <c r="B7" s="1085"/>
      <c r="C7" s="243"/>
      <c r="D7" s="218"/>
      <c r="E7" s="219"/>
      <c r="F7" s="244"/>
      <c r="G7" s="221"/>
      <c r="H7" s="218"/>
      <c r="I7" s="219"/>
      <c r="J7" s="222"/>
      <c r="K7" s="565">
        <v>0.45833333333333331</v>
      </c>
      <c r="L7" s="45" t="s">
        <v>260</v>
      </c>
      <c r="M7" s="46"/>
      <c r="N7" s="566"/>
      <c r="O7" s="630">
        <v>0.4375</v>
      </c>
      <c r="P7" s="631" t="s">
        <v>44</v>
      </c>
      <c r="Q7" s="632"/>
      <c r="R7" s="633"/>
      <c r="S7" s="565">
        <v>0.4236111111111111</v>
      </c>
      <c r="T7" s="45" t="s">
        <v>342</v>
      </c>
      <c r="U7" s="46"/>
      <c r="V7" s="566"/>
      <c r="AC7" s="597" t="s">
        <v>280</v>
      </c>
      <c r="AD7" s="598" t="s">
        <v>281</v>
      </c>
      <c r="AE7" s="599"/>
    </row>
    <row r="8" spans="2:31" ht="30.75" customHeight="1" x14ac:dyDescent="0.3">
      <c r="B8" s="1085"/>
      <c r="C8" s="245"/>
      <c r="D8" s="224"/>
      <c r="E8" s="225"/>
      <c r="F8" s="246"/>
      <c r="G8" s="223"/>
      <c r="H8" s="224"/>
      <c r="I8" s="225"/>
      <c r="J8" s="227"/>
      <c r="K8" s="567"/>
      <c r="L8" s="54"/>
      <c r="M8" s="55"/>
      <c r="N8" s="568"/>
      <c r="O8" s="324"/>
      <c r="P8" s="54"/>
      <c r="Q8" s="55"/>
      <c r="R8" s="60"/>
      <c r="S8" s="565"/>
      <c r="T8" s="45"/>
      <c r="U8" s="46"/>
      <c r="V8" s="566"/>
      <c r="AC8" s="597" t="s">
        <v>277</v>
      </c>
      <c r="AD8" s="598" t="s">
        <v>278</v>
      </c>
      <c r="AE8" s="599"/>
    </row>
    <row r="9" spans="2:31" ht="24.75" customHeight="1" x14ac:dyDescent="0.3">
      <c r="B9" s="1086"/>
      <c r="C9" s="1124"/>
      <c r="D9" s="1122"/>
      <c r="E9" s="1122"/>
      <c r="F9" s="1123"/>
      <c r="G9" s="1121"/>
      <c r="H9" s="1122"/>
      <c r="I9" s="1122"/>
      <c r="J9" s="1122"/>
      <c r="K9" s="1160" t="s">
        <v>346</v>
      </c>
      <c r="L9" s="1161"/>
      <c r="M9" s="1161"/>
      <c r="N9" s="1162"/>
      <c r="O9" s="1103" t="s">
        <v>336</v>
      </c>
      <c r="P9" s="1103"/>
      <c r="Q9" s="1103"/>
      <c r="R9" s="1103"/>
      <c r="S9" s="1151" t="s">
        <v>353</v>
      </c>
      <c r="T9" s="1152"/>
      <c r="U9" s="1152"/>
      <c r="V9" s="1153"/>
      <c r="AC9" s="597" t="s">
        <v>279</v>
      </c>
      <c r="AD9" s="598" t="s">
        <v>210</v>
      </c>
      <c r="AE9" s="599"/>
    </row>
    <row r="10" spans="2:31" ht="30.75" customHeight="1" thickBot="1" x14ac:dyDescent="0.35">
      <c r="B10" s="1087" t="s">
        <v>12</v>
      </c>
      <c r="C10" s="199"/>
      <c r="D10" s="200"/>
      <c r="E10" s="201"/>
      <c r="F10" s="202"/>
      <c r="G10" s="228"/>
      <c r="H10" s="200"/>
      <c r="I10" s="201"/>
      <c r="J10" s="230"/>
      <c r="K10" s="569">
        <v>0.41666666666666669</v>
      </c>
      <c r="L10" s="63" t="s">
        <v>261</v>
      </c>
      <c r="M10" s="64"/>
      <c r="N10" s="570"/>
      <c r="O10" s="302">
        <v>0.38541666666666669</v>
      </c>
      <c r="P10" s="63" t="s">
        <v>223</v>
      </c>
      <c r="Q10" s="64"/>
      <c r="R10" s="67"/>
      <c r="S10" s="569">
        <v>0.39583333333333331</v>
      </c>
      <c r="T10" s="63" t="s">
        <v>157</v>
      </c>
      <c r="U10" s="64"/>
      <c r="V10" s="570"/>
      <c r="AC10" s="600" t="s">
        <v>282</v>
      </c>
      <c r="AD10" s="601"/>
      <c r="AE10" s="602"/>
    </row>
    <row r="11" spans="2:31" ht="30.75" customHeight="1" x14ac:dyDescent="0.3">
      <c r="B11" s="1088"/>
      <c r="C11" s="203"/>
      <c r="D11" s="204"/>
      <c r="E11" s="205"/>
      <c r="F11" s="206"/>
      <c r="G11" s="231"/>
      <c r="H11" s="204"/>
      <c r="I11" s="205"/>
      <c r="J11" s="233"/>
      <c r="K11" s="571">
        <v>0.5625</v>
      </c>
      <c r="L11" s="70" t="s">
        <v>95</v>
      </c>
      <c r="M11" s="71"/>
      <c r="N11" s="572"/>
      <c r="O11" s="303">
        <v>0.4375</v>
      </c>
      <c r="P11" s="70" t="s">
        <v>270</v>
      </c>
      <c r="Q11" s="71"/>
      <c r="R11" s="74"/>
      <c r="S11" s="571"/>
      <c r="T11" s="70"/>
      <c r="U11" s="71"/>
      <c r="V11" s="572"/>
    </row>
    <row r="12" spans="2:31" ht="30.75" customHeight="1" thickBot="1" x14ac:dyDescent="0.35">
      <c r="B12" s="18" t="s">
        <v>13</v>
      </c>
      <c r="C12" s="247"/>
      <c r="D12" s="235"/>
      <c r="E12" s="236"/>
      <c r="F12" s="248"/>
      <c r="G12" s="234"/>
      <c r="H12" s="235"/>
      <c r="I12" s="236"/>
      <c r="J12" s="239"/>
      <c r="K12" s="573"/>
      <c r="L12" s="574"/>
      <c r="M12" s="575"/>
      <c r="N12" s="576"/>
      <c r="O12" s="304"/>
      <c r="P12" s="11"/>
      <c r="Q12" s="12"/>
      <c r="R12" s="17"/>
      <c r="S12" s="577"/>
      <c r="T12" s="574"/>
      <c r="U12" s="575"/>
      <c r="V12" s="576"/>
    </row>
    <row r="13" spans="2:31" ht="30.75" customHeight="1" thickTop="1" thickBot="1" x14ac:dyDescent="0.35">
      <c r="B13" s="35" t="s">
        <v>29</v>
      </c>
      <c r="C13" s="2">
        <f>S5+3</f>
        <v>6</v>
      </c>
      <c r="D13" s="3" t="s">
        <v>6</v>
      </c>
      <c r="E13" s="3" t="s">
        <v>7</v>
      </c>
      <c r="F13" s="4" t="s">
        <v>8</v>
      </c>
      <c r="G13" s="5">
        <f>C13+1</f>
        <v>7</v>
      </c>
      <c r="H13" s="3" t="s">
        <v>6</v>
      </c>
      <c r="I13" s="3" t="s">
        <v>7</v>
      </c>
      <c r="J13" s="6" t="s">
        <v>8</v>
      </c>
      <c r="K13" s="282">
        <f>G13+1</f>
        <v>8</v>
      </c>
      <c r="L13" s="283" t="s">
        <v>6</v>
      </c>
      <c r="M13" s="283" t="s">
        <v>7</v>
      </c>
      <c r="N13" s="484" t="s">
        <v>8</v>
      </c>
      <c r="O13" s="5">
        <f>K13+1</f>
        <v>9</v>
      </c>
      <c r="P13" s="3" t="s">
        <v>6</v>
      </c>
      <c r="Q13" s="3" t="s">
        <v>7</v>
      </c>
      <c r="R13" s="6" t="s">
        <v>8</v>
      </c>
      <c r="S13" s="282">
        <f>O13+1</f>
        <v>10</v>
      </c>
      <c r="T13" s="283" t="s">
        <v>6</v>
      </c>
      <c r="U13" s="283" t="s">
        <v>7</v>
      </c>
      <c r="V13" s="284" t="s">
        <v>8</v>
      </c>
    </row>
    <row r="14" spans="2:31" ht="30.75" customHeight="1" thickTop="1" x14ac:dyDescent="0.3">
      <c r="B14" s="1085" t="s">
        <v>9</v>
      </c>
      <c r="C14" s="552">
        <v>0.45833333333333331</v>
      </c>
      <c r="D14" s="553" t="s">
        <v>262</v>
      </c>
      <c r="E14" s="554"/>
      <c r="F14" s="555"/>
      <c r="G14" s="40">
        <v>0.39583333333333331</v>
      </c>
      <c r="H14" s="37" t="s">
        <v>155</v>
      </c>
      <c r="I14" s="38"/>
      <c r="J14" s="41"/>
      <c r="K14" s="659">
        <v>0.39583333333333331</v>
      </c>
      <c r="L14" s="660" t="s">
        <v>358</v>
      </c>
      <c r="M14" s="661"/>
      <c r="N14" s="662"/>
      <c r="O14" s="40">
        <v>0.39583333333333331</v>
      </c>
      <c r="P14" s="37" t="s">
        <v>264</v>
      </c>
      <c r="Q14" s="38"/>
      <c r="R14" s="41"/>
      <c r="S14" s="40">
        <v>0.39583333333333331</v>
      </c>
      <c r="T14" s="37" t="s">
        <v>263</v>
      </c>
      <c r="U14" s="38"/>
      <c r="V14" s="43"/>
    </row>
    <row r="15" spans="2:31" ht="30.75" customHeight="1" x14ac:dyDescent="0.3">
      <c r="B15" s="1085"/>
      <c r="C15" s="240">
        <v>0.41666666666666669</v>
      </c>
      <c r="D15" s="45" t="s">
        <v>46</v>
      </c>
      <c r="E15" s="46"/>
      <c r="F15" s="47"/>
      <c r="G15" s="50">
        <v>0.58333333333333337</v>
      </c>
      <c r="H15" s="45" t="s">
        <v>285</v>
      </c>
      <c r="I15" s="46"/>
      <c r="J15" s="49"/>
      <c r="K15" s="50">
        <v>0.39583333333333331</v>
      </c>
      <c r="L15" s="45" t="s">
        <v>22</v>
      </c>
      <c r="M15" s="46"/>
      <c r="N15" s="49"/>
      <c r="O15" s="556">
        <v>0.45833333333333331</v>
      </c>
      <c r="P15" s="557" t="s">
        <v>287</v>
      </c>
      <c r="Q15" s="558"/>
      <c r="R15" s="559"/>
      <c r="S15" s="50">
        <v>0.46527777777777779</v>
      </c>
      <c r="T15" s="45" t="s">
        <v>288</v>
      </c>
      <c r="U15" s="46"/>
      <c r="V15" s="52"/>
    </row>
    <row r="16" spans="2:31" ht="30.75" customHeight="1" x14ac:dyDescent="0.3">
      <c r="B16" s="1085"/>
      <c r="C16" s="649">
        <v>0.47222222222222221</v>
      </c>
      <c r="D16" s="650" t="s">
        <v>170</v>
      </c>
      <c r="E16" s="651"/>
      <c r="F16" s="652"/>
      <c r="G16" s="653"/>
      <c r="H16" s="650"/>
      <c r="I16" s="651"/>
      <c r="J16" s="654"/>
      <c r="K16" s="655">
        <v>0.45833333333333331</v>
      </c>
      <c r="L16" s="650" t="s">
        <v>144</v>
      </c>
      <c r="M16" s="651"/>
      <c r="N16" s="654"/>
      <c r="O16" s="655">
        <v>0.58333333333333337</v>
      </c>
      <c r="P16" s="650" t="s">
        <v>101</v>
      </c>
      <c r="Q16" s="651"/>
      <c r="R16" s="654"/>
      <c r="S16" s="653"/>
      <c r="T16" s="650"/>
      <c r="U16" s="651"/>
      <c r="V16" s="663"/>
    </row>
    <row r="17" spans="2:22" ht="30.75" customHeight="1" x14ac:dyDescent="0.3">
      <c r="B17" s="1085"/>
      <c r="C17" s="517">
        <v>0.58333333333333337</v>
      </c>
      <c r="D17" s="518" t="s">
        <v>355</v>
      </c>
      <c r="E17" s="519"/>
      <c r="F17" s="520"/>
      <c r="G17" s="656"/>
      <c r="H17" s="657"/>
      <c r="I17" s="658"/>
      <c r="J17" s="520"/>
      <c r="K17" s="517"/>
      <c r="L17" s="657"/>
      <c r="M17" s="658"/>
      <c r="N17" s="520"/>
      <c r="O17" s="656"/>
      <c r="P17" s="657"/>
      <c r="Q17" s="658"/>
      <c r="R17" s="520"/>
      <c r="S17" s="656"/>
      <c r="T17" s="657"/>
      <c r="U17" s="658"/>
      <c r="V17" s="658"/>
    </row>
    <row r="18" spans="2:22" ht="24.75" customHeight="1" x14ac:dyDescent="0.3">
      <c r="B18" s="1086"/>
      <c r="C18" s="1108" t="s">
        <v>274</v>
      </c>
      <c r="D18" s="1103"/>
      <c r="E18" s="1103"/>
      <c r="F18" s="1109"/>
      <c r="G18" s="1102"/>
      <c r="H18" s="1103"/>
      <c r="I18" s="1103"/>
      <c r="J18" s="1109"/>
      <c r="K18" s="1154" t="s">
        <v>350</v>
      </c>
      <c r="L18" s="1155"/>
      <c r="M18" s="1155"/>
      <c r="N18" s="1156"/>
      <c r="O18" s="1157"/>
      <c r="P18" s="1158"/>
      <c r="Q18" s="1158"/>
      <c r="R18" s="1159"/>
      <c r="S18" s="1154" t="s">
        <v>359</v>
      </c>
      <c r="T18" s="1155"/>
      <c r="U18" s="1155"/>
      <c r="V18" s="1156"/>
    </row>
    <row r="19" spans="2:22" ht="30.75" customHeight="1" x14ac:dyDescent="0.3">
      <c r="B19" s="1079" t="s">
        <v>12</v>
      </c>
      <c r="C19" s="634">
        <v>0.38541666666666669</v>
      </c>
      <c r="D19" s="635" t="s">
        <v>94</v>
      </c>
      <c r="E19" s="636"/>
      <c r="F19" s="637"/>
      <c r="G19" s="65">
        <v>0.39583333333333331</v>
      </c>
      <c r="H19" s="63" t="s">
        <v>153</v>
      </c>
      <c r="I19" s="64"/>
      <c r="J19" s="66"/>
      <c r="K19" s="65">
        <v>0.375</v>
      </c>
      <c r="L19" s="63" t="s">
        <v>357</v>
      </c>
      <c r="M19" s="64"/>
      <c r="N19" s="66"/>
      <c r="O19" s="617">
        <v>0.375</v>
      </c>
      <c r="P19" s="618" t="s">
        <v>345</v>
      </c>
      <c r="Q19" s="619"/>
      <c r="R19" s="620"/>
      <c r="S19" s="65">
        <v>0.39583333333333331</v>
      </c>
      <c r="T19" s="63" t="s">
        <v>208</v>
      </c>
      <c r="U19" s="64"/>
      <c r="V19" s="67"/>
    </row>
    <row r="20" spans="2:22" ht="30.75" customHeight="1" x14ac:dyDescent="0.3">
      <c r="B20" s="1137"/>
      <c r="C20" s="639">
        <v>0.45833333333333331</v>
      </c>
      <c r="D20" s="640" t="s">
        <v>354</v>
      </c>
      <c r="E20" s="641"/>
      <c r="F20" s="642"/>
      <c r="G20" s="463">
        <v>0.4375</v>
      </c>
      <c r="H20" s="464" t="s">
        <v>341</v>
      </c>
      <c r="I20" s="465"/>
      <c r="J20" s="468"/>
      <c r="K20" s="463">
        <v>0.39583333333333331</v>
      </c>
      <c r="L20" s="464" t="s">
        <v>152</v>
      </c>
      <c r="M20" s="465"/>
      <c r="N20" s="468"/>
      <c r="O20" s="463">
        <v>0.39583333333333331</v>
      </c>
      <c r="P20" s="464" t="s">
        <v>338</v>
      </c>
      <c r="Q20" s="465"/>
      <c r="R20" s="468"/>
      <c r="S20" s="463"/>
      <c r="T20" s="464"/>
      <c r="U20" s="465"/>
      <c r="V20" s="466"/>
    </row>
    <row r="21" spans="2:22" ht="30.75" customHeight="1" x14ac:dyDescent="0.3">
      <c r="B21" s="1080"/>
      <c r="C21" s="69"/>
      <c r="D21" s="70"/>
      <c r="E21" s="71"/>
      <c r="F21" s="68"/>
      <c r="G21" s="72">
        <v>0.5625</v>
      </c>
      <c r="H21" s="70" t="s">
        <v>349</v>
      </c>
      <c r="I21" s="71"/>
      <c r="J21" s="73"/>
      <c r="K21" s="72"/>
      <c r="L21" s="70"/>
      <c r="M21" s="71"/>
      <c r="N21" s="73"/>
      <c r="O21" s="72"/>
      <c r="P21" s="70"/>
      <c r="Q21" s="71"/>
      <c r="R21" s="73"/>
      <c r="S21" s="72"/>
      <c r="T21" s="70"/>
      <c r="U21" s="71"/>
      <c r="V21" s="74"/>
    </row>
    <row r="22" spans="2:22" ht="30.75" customHeight="1" x14ac:dyDescent="0.3">
      <c r="B22" s="9" t="s">
        <v>13</v>
      </c>
      <c r="C22" s="10"/>
      <c r="D22" s="11"/>
      <c r="E22" s="12"/>
      <c r="F22" s="9"/>
      <c r="G22" s="13"/>
      <c r="H22" s="11"/>
      <c r="I22" s="12"/>
      <c r="J22" s="14"/>
      <c r="K22" s="13"/>
      <c r="L22" s="11"/>
      <c r="M22" s="12"/>
      <c r="N22" s="14"/>
      <c r="O22" s="13"/>
      <c r="P22" s="11"/>
      <c r="Q22" s="12"/>
      <c r="R22" s="14"/>
      <c r="S22" s="15"/>
      <c r="T22" s="11"/>
      <c r="U22" s="12"/>
      <c r="V22" s="17"/>
    </row>
    <row r="23" spans="2:22" ht="30.75" customHeight="1" thickBot="1" x14ac:dyDescent="0.35">
      <c r="B23" s="35" t="s">
        <v>30</v>
      </c>
      <c r="C23" s="348">
        <f>S13+3</f>
        <v>13</v>
      </c>
      <c r="D23" s="349" t="s">
        <v>6</v>
      </c>
      <c r="E23" s="349" t="s">
        <v>7</v>
      </c>
      <c r="F23" s="350" t="s">
        <v>8</v>
      </c>
      <c r="G23" s="5">
        <f>C23+1</f>
        <v>14</v>
      </c>
      <c r="H23" s="3" t="s">
        <v>6</v>
      </c>
      <c r="I23" s="3" t="s">
        <v>7</v>
      </c>
      <c r="J23" s="6" t="s">
        <v>8</v>
      </c>
      <c r="K23" s="5">
        <f>G23+1</f>
        <v>15</v>
      </c>
      <c r="L23" s="3" t="s">
        <v>6</v>
      </c>
      <c r="M23" s="3" t="s">
        <v>7</v>
      </c>
      <c r="N23" s="6" t="s">
        <v>8</v>
      </c>
      <c r="O23" s="369">
        <f>K23+1</f>
        <v>16</v>
      </c>
      <c r="P23" s="349" t="s">
        <v>6</v>
      </c>
      <c r="Q23" s="349" t="s">
        <v>7</v>
      </c>
      <c r="R23" s="370" t="s">
        <v>8</v>
      </c>
      <c r="S23" s="5">
        <f>O23+1</f>
        <v>17</v>
      </c>
      <c r="T23" s="3" t="s">
        <v>6</v>
      </c>
      <c r="U23" s="3" t="s">
        <v>7</v>
      </c>
      <c r="V23" s="16" t="s">
        <v>8</v>
      </c>
    </row>
    <row r="24" spans="2:22" ht="30.75" customHeight="1" thickTop="1" x14ac:dyDescent="0.3">
      <c r="B24" s="1110" t="s">
        <v>9</v>
      </c>
      <c r="C24" s="582">
        <v>0.39583333333333331</v>
      </c>
      <c r="D24" s="579" t="s">
        <v>286</v>
      </c>
      <c r="E24" s="580"/>
      <c r="F24" s="583"/>
      <c r="G24" s="347">
        <v>0.39583333333333331</v>
      </c>
      <c r="H24" s="37" t="s">
        <v>265</v>
      </c>
      <c r="I24" s="38"/>
      <c r="J24" s="41"/>
      <c r="K24" s="613">
        <v>0.375</v>
      </c>
      <c r="L24" s="614" t="s">
        <v>334</v>
      </c>
      <c r="M24" s="615"/>
      <c r="N24" s="616"/>
      <c r="O24" s="578">
        <v>0.375</v>
      </c>
      <c r="P24" s="579" t="s">
        <v>40</v>
      </c>
      <c r="Q24" s="580"/>
      <c r="R24" s="581"/>
      <c r="S24" s="347">
        <v>0.41666666666666669</v>
      </c>
      <c r="T24" s="37" t="s">
        <v>41</v>
      </c>
      <c r="U24" s="38"/>
      <c r="V24" s="43"/>
    </row>
    <row r="25" spans="2:22" ht="30.75" customHeight="1" x14ac:dyDescent="0.3">
      <c r="B25" s="1110"/>
      <c r="C25" s="664">
        <v>0.58333333333333337</v>
      </c>
      <c r="D25" s="338" t="s">
        <v>360</v>
      </c>
      <c r="E25" s="339"/>
      <c r="F25" s="665"/>
      <c r="G25" s="347">
        <v>0.5625</v>
      </c>
      <c r="H25" s="37" t="s">
        <v>356</v>
      </c>
      <c r="I25" s="38"/>
      <c r="J25" s="41"/>
      <c r="K25" s="621"/>
      <c r="L25" s="622"/>
      <c r="M25" s="623"/>
      <c r="N25" s="624"/>
      <c r="O25" s="626">
        <v>0.41666666666666669</v>
      </c>
      <c r="P25" s="627" t="s">
        <v>258</v>
      </c>
      <c r="Q25" s="628"/>
      <c r="R25" s="629"/>
      <c r="S25" s="347"/>
      <c r="T25" s="37"/>
      <c r="U25" s="38"/>
      <c r="V25" s="43"/>
    </row>
    <row r="26" spans="2:22" ht="30.75" customHeight="1" x14ac:dyDescent="0.3">
      <c r="B26" s="1110"/>
      <c r="C26" s="584"/>
      <c r="D26" s="45"/>
      <c r="E26" s="46"/>
      <c r="F26" s="585"/>
      <c r="G26" s="367"/>
      <c r="H26" s="45"/>
      <c r="I26" s="46"/>
      <c r="J26" s="49"/>
      <c r="K26" s="40"/>
      <c r="L26" s="625"/>
      <c r="M26" s="38"/>
      <c r="N26" s="564"/>
      <c r="O26" s="565">
        <v>0.47916666666666669</v>
      </c>
      <c r="P26" s="45" t="s">
        <v>237</v>
      </c>
      <c r="Q26" s="46"/>
      <c r="R26" s="566"/>
      <c r="S26" s="367"/>
      <c r="T26" s="45"/>
      <c r="U26" s="46"/>
      <c r="V26" s="52"/>
    </row>
    <row r="27" spans="2:22" ht="30.75" hidden="1" customHeight="1" x14ac:dyDescent="0.3">
      <c r="B27" s="1110"/>
      <c r="C27" s="586"/>
      <c r="D27" s="54"/>
      <c r="E27" s="55"/>
      <c r="F27" s="587"/>
      <c r="G27" s="324"/>
      <c r="H27" s="54"/>
      <c r="I27" s="55"/>
      <c r="J27" s="58"/>
      <c r="K27" s="57"/>
      <c r="L27" s="54"/>
      <c r="M27" s="55"/>
      <c r="N27" s="60"/>
      <c r="O27" s="567"/>
      <c r="P27" s="54"/>
      <c r="Q27" s="55"/>
      <c r="R27" s="568"/>
      <c r="S27" s="324"/>
      <c r="T27" s="54"/>
      <c r="U27" s="55"/>
      <c r="V27" s="60"/>
    </row>
    <row r="28" spans="2:22" ht="24.75" hidden="1" customHeight="1" x14ac:dyDescent="0.3">
      <c r="B28" s="1111"/>
      <c r="C28" s="1163"/>
      <c r="D28" s="1158"/>
      <c r="E28" s="1158"/>
      <c r="F28" s="1164"/>
      <c r="G28" s="1103"/>
      <c r="H28" s="1103"/>
      <c r="I28" s="1103"/>
      <c r="J28" s="1109"/>
      <c r="K28" s="1102" t="s">
        <v>339</v>
      </c>
      <c r="L28" s="1103"/>
      <c r="M28" s="1103"/>
      <c r="N28" s="1103"/>
      <c r="O28" s="1165"/>
      <c r="P28" s="1103"/>
      <c r="Q28" s="1103"/>
      <c r="R28" s="1166"/>
      <c r="S28" s="1103"/>
      <c r="T28" s="1103"/>
      <c r="U28" s="1103"/>
      <c r="V28" s="1103"/>
    </row>
    <row r="29" spans="2:22" ht="30.75" customHeight="1" x14ac:dyDescent="0.3">
      <c r="B29" s="1104" t="s">
        <v>12</v>
      </c>
      <c r="C29" s="588">
        <v>0.39583333333333331</v>
      </c>
      <c r="D29" s="63" t="s">
        <v>273</v>
      </c>
      <c r="E29" s="64"/>
      <c r="F29" s="589"/>
      <c r="G29" s="302">
        <v>0.39583333333333331</v>
      </c>
      <c r="H29" s="63" t="s">
        <v>267</v>
      </c>
      <c r="I29" s="64"/>
      <c r="J29" s="66"/>
      <c r="K29" s="65">
        <v>0.39583333333333331</v>
      </c>
      <c r="L29" s="63" t="s">
        <v>180</v>
      </c>
      <c r="M29" s="64"/>
      <c r="N29" s="67"/>
      <c r="O29" s="569">
        <v>0.4375</v>
      </c>
      <c r="P29" s="63" t="s">
        <v>335</v>
      </c>
      <c r="Q29" s="64"/>
      <c r="R29" s="570"/>
      <c r="S29" s="302">
        <v>0.39583333333333331</v>
      </c>
      <c r="T29" s="63" t="s">
        <v>266</v>
      </c>
      <c r="U29" s="64"/>
      <c r="V29" s="67"/>
    </row>
    <row r="30" spans="2:22" ht="30.75" customHeight="1" x14ac:dyDescent="0.3">
      <c r="B30" s="1105"/>
      <c r="C30" s="590">
        <v>0.4375</v>
      </c>
      <c r="D30" s="70" t="s">
        <v>14</v>
      </c>
      <c r="E30" s="71"/>
      <c r="F30" s="591"/>
      <c r="G30" s="303"/>
      <c r="H30" s="70"/>
      <c r="I30" s="71"/>
      <c r="J30" s="73"/>
      <c r="K30" s="72"/>
      <c r="L30" s="638" t="s">
        <v>337</v>
      </c>
      <c r="M30" s="71"/>
      <c r="N30" s="74"/>
      <c r="O30" s="571"/>
      <c r="P30" s="70"/>
      <c r="Q30" s="71"/>
      <c r="R30" s="572"/>
      <c r="S30" s="303"/>
      <c r="T30" s="70"/>
      <c r="U30" s="71"/>
      <c r="V30" s="74"/>
    </row>
    <row r="31" spans="2:22" ht="30.75" customHeight="1" thickBot="1" x14ac:dyDescent="0.35">
      <c r="B31" s="299" t="s">
        <v>13</v>
      </c>
      <c r="C31" s="592"/>
      <c r="D31" s="574"/>
      <c r="E31" s="575"/>
      <c r="F31" s="593"/>
      <c r="G31" s="304"/>
      <c r="H31" s="11"/>
      <c r="I31" s="12"/>
      <c r="J31" s="14"/>
      <c r="K31" s="13"/>
      <c r="L31" s="11"/>
      <c r="M31" s="12"/>
      <c r="N31" s="17"/>
      <c r="O31" s="573"/>
      <c r="P31" s="574"/>
      <c r="Q31" s="575"/>
      <c r="R31" s="576"/>
      <c r="S31" s="457"/>
      <c r="T31" s="11"/>
      <c r="U31" s="12"/>
      <c r="V31" s="17"/>
    </row>
    <row r="32" spans="2:22" ht="30.75" customHeight="1" thickTop="1" thickBot="1" x14ac:dyDescent="0.35">
      <c r="B32" s="35" t="s">
        <v>31</v>
      </c>
      <c r="C32" s="305">
        <f>S23+3</f>
        <v>20</v>
      </c>
      <c r="D32" s="283" t="s">
        <v>6</v>
      </c>
      <c r="E32" s="283" t="s">
        <v>7</v>
      </c>
      <c r="F32" s="306" t="s">
        <v>8</v>
      </c>
      <c r="G32" s="5">
        <f>C32+1</f>
        <v>21</v>
      </c>
      <c r="H32" s="3" t="s">
        <v>6</v>
      </c>
      <c r="I32" s="3" t="s">
        <v>7</v>
      </c>
      <c r="J32" s="6" t="s">
        <v>8</v>
      </c>
      <c r="K32" s="5">
        <f>G32+1</f>
        <v>22</v>
      </c>
      <c r="L32" s="3" t="s">
        <v>6</v>
      </c>
      <c r="M32" s="3" t="s">
        <v>7</v>
      </c>
      <c r="N32" s="6" t="s">
        <v>8</v>
      </c>
      <c r="O32" s="282">
        <f>K32+1</f>
        <v>23</v>
      </c>
      <c r="P32" s="283" t="s">
        <v>6</v>
      </c>
      <c r="Q32" s="283" t="s">
        <v>7</v>
      </c>
      <c r="R32" s="484" t="s">
        <v>8</v>
      </c>
      <c r="S32" s="5">
        <f>O32+1</f>
        <v>24</v>
      </c>
      <c r="T32" s="3" t="s">
        <v>6</v>
      </c>
      <c r="U32" s="3" t="s">
        <v>7</v>
      </c>
      <c r="V32" s="16" t="s">
        <v>8</v>
      </c>
    </row>
    <row r="33" spans="2:22" ht="30.75" customHeight="1" thickTop="1" x14ac:dyDescent="0.3">
      <c r="B33" s="1085" t="s">
        <v>9</v>
      </c>
      <c r="C33" s="36">
        <v>0.41666666666666669</v>
      </c>
      <c r="D33" s="37" t="s">
        <v>268</v>
      </c>
      <c r="E33" s="38"/>
      <c r="F33" s="39"/>
      <c r="G33" s="337">
        <v>0.39583333333333331</v>
      </c>
      <c r="H33" s="338" t="s">
        <v>294</v>
      </c>
      <c r="I33" s="339"/>
      <c r="J33" s="340"/>
      <c r="K33" s="40">
        <v>0.375</v>
      </c>
      <c r="L33" s="37" t="s">
        <v>143</v>
      </c>
      <c r="M33" s="38"/>
      <c r="N33" s="41"/>
      <c r="O33" s="40">
        <v>0.375</v>
      </c>
      <c r="P33" s="37" t="s">
        <v>289</v>
      </c>
      <c r="Q33" s="38"/>
      <c r="R33" s="41"/>
      <c r="S33" s="40">
        <v>0.375</v>
      </c>
      <c r="T33" s="37" t="s">
        <v>340</v>
      </c>
      <c r="U33" s="38"/>
      <c r="V33" s="43"/>
    </row>
    <row r="34" spans="2:22" ht="30.75" customHeight="1" x14ac:dyDescent="0.3">
      <c r="B34" s="1085"/>
      <c r="C34" s="240"/>
      <c r="D34" s="45"/>
      <c r="E34" s="46"/>
      <c r="F34" s="47"/>
      <c r="G34" s="259"/>
      <c r="H34" s="260"/>
      <c r="I34" s="606"/>
      <c r="J34" s="611"/>
      <c r="K34" s="50"/>
      <c r="L34" s="45" t="s">
        <v>239</v>
      </c>
      <c r="M34" s="46"/>
      <c r="N34" s="49"/>
      <c r="O34" s="50"/>
      <c r="P34" s="45" t="s">
        <v>371</v>
      </c>
      <c r="Q34" s="46"/>
      <c r="R34" s="49"/>
      <c r="S34" s="646" t="s">
        <v>348</v>
      </c>
      <c r="T34" s="647"/>
      <c r="U34" s="647"/>
      <c r="V34" s="648"/>
    </row>
    <row r="35" spans="2:22" ht="30.75" hidden="1" customHeight="1" x14ac:dyDescent="0.3">
      <c r="B35" s="1085"/>
      <c r="C35" s="53"/>
      <c r="D35" s="54"/>
      <c r="E35" s="55"/>
      <c r="F35" s="56"/>
      <c r="G35" s="57"/>
      <c r="H35" s="54"/>
      <c r="I35" s="55"/>
      <c r="J35" s="58"/>
      <c r="K35" s="57"/>
      <c r="L35" s="54"/>
      <c r="M35" s="55"/>
      <c r="N35" s="58"/>
      <c r="O35" s="57"/>
      <c r="P35" s="54"/>
      <c r="Q35" s="55"/>
      <c r="R35" s="58"/>
      <c r="S35" s="57"/>
      <c r="T35" s="54"/>
      <c r="U35" s="55"/>
      <c r="V35" s="60"/>
    </row>
    <row r="36" spans="2:22" ht="24.75" hidden="1" customHeight="1" x14ac:dyDescent="0.3">
      <c r="B36" s="1086"/>
      <c r="C36" s="1108"/>
      <c r="D36" s="1103"/>
      <c r="E36" s="1103"/>
      <c r="F36" s="1109"/>
      <c r="G36" s="1102"/>
      <c r="H36" s="1103"/>
      <c r="I36" s="1103"/>
      <c r="J36" s="1109"/>
      <c r="K36" s="1102"/>
      <c r="L36" s="1103"/>
      <c r="M36" s="1103"/>
      <c r="N36" s="1109"/>
      <c r="O36" s="1102"/>
      <c r="P36" s="1103"/>
      <c r="Q36" s="1103"/>
      <c r="R36" s="1109"/>
      <c r="S36" s="1102"/>
      <c r="T36" s="1103"/>
      <c r="U36" s="1103"/>
      <c r="V36" s="1103"/>
    </row>
    <row r="37" spans="2:22" ht="30.75" customHeight="1" x14ac:dyDescent="0.3">
      <c r="B37" s="1079" t="s">
        <v>12</v>
      </c>
      <c r="C37" s="62">
        <v>0.39583333333333331</v>
      </c>
      <c r="D37" s="63" t="s">
        <v>216</v>
      </c>
      <c r="E37" s="64"/>
      <c r="F37" s="61"/>
      <c r="G37" s="65">
        <v>0.39583333333333331</v>
      </c>
      <c r="H37" s="63" t="s">
        <v>200</v>
      </c>
      <c r="I37" s="64"/>
      <c r="J37" s="66"/>
      <c r="K37" s="65">
        <v>0.41666666666666669</v>
      </c>
      <c r="L37" s="63" t="s">
        <v>15</v>
      </c>
      <c r="M37" s="64"/>
      <c r="N37" s="66"/>
      <c r="O37" s="617">
        <v>0.375</v>
      </c>
      <c r="P37" s="618" t="s">
        <v>284</v>
      </c>
      <c r="Q37" s="619"/>
      <c r="R37" s="620"/>
      <c r="S37" s="65"/>
      <c r="T37" s="63"/>
      <c r="U37" s="64"/>
      <c r="V37" s="67"/>
    </row>
    <row r="38" spans="2:22" ht="30.75" hidden="1" customHeight="1" x14ac:dyDescent="0.3">
      <c r="B38" s="1080"/>
      <c r="C38" s="69"/>
      <c r="D38" s="70"/>
      <c r="E38" s="71"/>
      <c r="F38" s="68"/>
      <c r="G38" s="72"/>
      <c r="H38" s="70"/>
      <c r="I38" s="71"/>
      <c r="J38" s="73"/>
      <c r="K38" s="72"/>
      <c r="L38" s="70"/>
      <c r="M38" s="71"/>
      <c r="N38" s="73"/>
      <c r="O38" s="72"/>
      <c r="P38" s="70"/>
      <c r="Q38" s="71"/>
      <c r="R38" s="73"/>
      <c r="S38" s="72"/>
      <c r="T38" s="70"/>
      <c r="U38" s="71"/>
      <c r="V38" s="74"/>
    </row>
    <row r="39" spans="2:22" ht="30.75" customHeight="1" x14ac:dyDescent="0.3">
      <c r="B39" s="9" t="s">
        <v>13</v>
      </c>
      <c r="C39" s="10"/>
      <c r="D39" s="11"/>
      <c r="E39" s="12"/>
      <c r="F39" s="9"/>
      <c r="G39" s="13"/>
      <c r="H39" s="11"/>
      <c r="I39" s="12"/>
      <c r="J39" s="14"/>
      <c r="K39" s="13"/>
      <c r="L39" s="11"/>
      <c r="M39" s="12"/>
      <c r="N39" s="14"/>
      <c r="O39" s="13"/>
      <c r="P39" s="11"/>
      <c r="Q39" s="12"/>
      <c r="R39" s="14"/>
      <c r="S39" s="15"/>
      <c r="T39" s="11"/>
      <c r="U39" s="12"/>
      <c r="V39" s="17"/>
    </row>
    <row r="40" spans="2:22" ht="30.75" customHeight="1" thickBot="1" x14ac:dyDescent="0.35">
      <c r="B40" s="35" t="s">
        <v>32</v>
      </c>
      <c r="C40" s="2">
        <f>S32+3</f>
        <v>27</v>
      </c>
      <c r="D40" s="3" t="s">
        <v>6</v>
      </c>
      <c r="E40" s="3" t="s">
        <v>7</v>
      </c>
      <c r="F40" s="4" t="s">
        <v>8</v>
      </c>
      <c r="G40" s="5">
        <f>C40+1</f>
        <v>28</v>
      </c>
      <c r="H40" s="3" t="s">
        <v>6</v>
      </c>
      <c r="I40" s="3" t="s">
        <v>7</v>
      </c>
      <c r="J40" s="6" t="s">
        <v>8</v>
      </c>
      <c r="K40" s="5">
        <f>G40+1</f>
        <v>29</v>
      </c>
      <c r="L40" s="3" t="s">
        <v>6</v>
      </c>
      <c r="M40" s="3" t="s">
        <v>7</v>
      </c>
      <c r="N40" s="6" t="s">
        <v>8</v>
      </c>
      <c r="O40" s="5">
        <f>K40+1</f>
        <v>30</v>
      </c>
      <c r="P40" s="3" t="s">
        <v>6</v>
      </c>
      <c r="Q40" s="3" t="s">
        <v>7</v>
      </c>
      <c r="R40" s="6" t="s">
        <v>8</v>
      </c>
      <c r="S40" s="208"/>
      <c r="T40" s="209"/>
      <c r="U40" s="209"/>
      <c r="V40" s="211"/>
    </row>
    <row r="41" spans="2:22" ht="30.75" customHeight="1" thickTop="1" x14ac:dyDescent="0.3">
      <c r="B41" s="1085" t="s">
        <v>9</v>
      </c>
      <c r="C41" s="643" t="s">
        <v>347</v>
      </c>
      <c r="D41" s="644"/>
      <c r="E41" s="644"/>
      <c r="F41" s="645"/>
      <c r="G41" s="40"/>
      <c r="H41" s="37"/>
      <c r="I41" s="38"/>
      <c r="J41" s="41"/>
      <c r="K41" s="40"/>
      <c r="L41" s="37"/>
      <c r="M41" s="38"/>
      <c r="N41" s="41"/>
      <c r="O41" s="40"/>
      <c r="P41" s="37"/>
      <c r="Q41" s="38"/>
      <c r="R41" s="41"/>
      <c r="S41" s="212"/>
      <c r="T41" s="213"/>
      <c r="U41" s="214"/>
      <c r="V41" s="216"/>
    </row>
    <row r="42" spans="2:22" ht="30.75" hidden="1" customHeight="1" x14ac:dyDescent="0.3">
      <c r="B42" s="1085"/>
      <c r="C42" s="44"/>
      <c r="D42" s="45"/>
      <c r="E42" s="46"/>
      <c r="F42" s="47"/>
      <c r="G42" s="48"/>
      <c r="H42" s="45"/>
      <c r="I42" s="46"/>
      <c r="J42" s="49"/>
      <c r="K42" s="50"/>
      <c r="L42" s="45"/>
      <c r="M42" s="46"/>
      <c r="N42" s="49"/>
      <c r="O42" s="50"/>
      <c r="P42" s="45"/>
      <c r="Q42" s="46"/>
      <c r="R42" s="49"/>
      <c r="S42" s="221"/>
      <c r="T42" s="218"/>
      <c r="U42" s="219"/>
      <c r="V42" s="222"/>
    </row>
    <row r="43" spans="2:22" ht="30.75" hidden="1" customHeight="1" x14ac:dyDescent="0.3">
      <c r="B43" s="1085"/>
      <c r="C43" s="53"/>
      <c r="D43" s="54"/>
      <c r="E43" s="55"/>
      <c r="F43" s="56"/>
      <c r="G43" s="57"/>
      <c r="H43" s="54"/>
      <c r="I43" s="55"/>
      <c r="J43" s="58"/>
      <c r="K43" s="57"/>
      <c r="L43" s="54"/>
      <c r="M43" s="55"/>
      <c r="N43" s="58"/>
      <c r="O43" s="57"/>
      <c r="P43" s="54"/>
      <c r="Q43" s="55"/>
      <c r="R43" s="58"/>
      <c r="S43" s="223"/>
      <c r="T43" s="224"/>
      <c r="U43" s="225"/>
      <c r="V43" s="227"/>
    </row>
    <row r="44" spans="2:22" ht="24.75" customHeight="1" x14ac:dyDescent="0.3">
      <c r="B44" s="1086"/>
      <c r="C44" s="1108"/>
      <c r="D44" s="1103"/>
      <c r="E44" s="1103"/>
      <c r="F44" s="1109"/>
      <c r="G44" s="1167" t="s">
        <v>343</v>
      </c>
      <c r="H44" s="1168"/>
      <c r="I44" s="1168"/>
      <c r="J44" s="1169"/>
      <c r="K44" s="1102"/>
      <c r="L44" s="1103"/>
      <c r="M44" s="1103"/>
      <c r="N44" s="1109"/>
      <c r="O44" s="1102"/>
      <c r="P44" s="1103"/>
      <c r="Q44" s="1103"/>
      <c r="R44" s="1109"/>
      <c r="S44" s="1121"/>
      <c r="T44" s="1122"/>
      <c r="U44" s="1122"/>
      <c r="V44" s="1122"/>
    </row>
    <row r="45" spans="2:22" ht="30.75" customHeight="1" x14ac:dyDescent="0.3">
      <c r="B45" s="1079" t="s">
        <v>12</v>
      </c>
      <c r="C45" s="62">
        <v>0.39583333333333331</v>
      </c>
      <c r="D45" s="63" t="s">
        <v>361</v>
      </c>
      <c r="E45" s="64"/>
      <c r="F45" s="61"/>
      <c r="G45" s="65"/>
      <c r="H45" s="63"/>
      <c r="I45" s="64"/>
      <c r="J45" s="66"/>
      <c r="K45" s="65"/>
      <c r="L45" s="63"/>
      <c r="M45" s="64"/>
      <c r="N45" s="66"/>
      <c r="O45" s="65"/>
      <c r="P45" s="63"/>
      <c r="Q45" s="64"/>
      <c r="R45" s="66"/>
      <c r="S45" s="228"/>
      <c r="T45" s="200"/>
      <c r="U45" s="201"/>
      <c r="V45" s="230"/>
    </row>
    <row r="46" spans="2:22" ht="30.75" hidden="1" customHeight="1" x14ac:dyDescent="0.3">
      <c r="B46" s="1080"/>
      <c r="C46" s="69"/>
      <c r="D46" s="70"/>
      <c r="E46" s="71"/>
      <c r="F46" s="68"/>
      <c r="G46" s="72"/>
      <c r="H46" s="70"/>
      <c r="I46" s="71"/>
      <c r="J46" s="73"/>
      <c r="K46" s="72"/>
      <c r="L46" s="70"/>
      <c r="M46" s="71"/>
      <c r="N46" s="73"/>
      <c r="O46" s="72"/>
      <c r="P46" s="70"/>
      <c r="Q46" s="71"/>
      <c r="R46" s="73"/>
      <c r="S46" s="231"/>
      <c r="T46" s="204"/>
      <c r="U46" s="205"/>
      <c r="V46" s="233"/>
    </row>
    <row r="47" spans="2:22" ht="30.75" hidden="1" customHeight="1" x14ac:dyDescent="0.3">
      <c r="B47" s="9" t="s">
        <v>13</v>
      </c>
      <c r="C47" s="10"/>
      <c r="D47" s="11"/>
      <c r="E47" s="12"/>
      <c r="F47" s="9"/>
      <c r="G47" s="13"/>
      <c r="H47" s="11"/>
      <c r="I47" s="12"/>
      <c r="J47" s="14"/>
      <c r="K47" s="13"/>
      <c r="L47" s="11"/>
      <c r="M47" s="12"/>
      <c r="N47" s="14"/>
      <c r="O47" s="13"/>
      <c r="P47" s="11"/>
      <c r="Q47" s="12"/>
      <c r="R47" s="14"/>
      <c r="S47" s="238"/>
      <c r="T47" s="235"/>
      <c r="U47" s="236"/>
      <c r="V47" s="239"/>
    </row>
  </sheetData>
  <mergeCells count="40">
    <mergeCell ref="S44:V44"/>
    <mergeCell ref="B45:B46"/>
    <mergeCell ref="B37:B38"/>
    <mergeCell ref="B41:B44"/>
    <mergeCell ref="C44:F44"/>
    <mergeCell ref="G44:J44"/>
    <mergeCell ref="K44:N44"/>
    <mergeCell ref="O44:R44"/>
    <mergeCell ref="S28:V28"/>
    <mergeCell ref="B29:B30"/>
    <mergeCell ref="B33:B36"/>
    <mergeCell ref="C36:F36"/>
    <mergeCell ref="G36:J36"/>
    <mergeCell ref="K36:N36"/>
    <mergeCell ref="O36:R36"/>
    <mergeCell ref="S36:V36"/>
    <mergeCell ref="O28:R28"/>
    <mergeCell ref="B19:B21"/>
    <mergeCell ref="B24:B28"/>
    <mergeCell ref="C28:F28"/>
    <mergeCell ref="G28:J28"/>
    <mergeCell ref="K28:N28"/>
    <mergeCell ref="S9:V9"/>
    <mergeCell ref="B10:B11"/>
    <mergeCell ref="B14:B18"/>
    <mergeCell ref="C18:F18"/>
    <mergeCell ref="G18:J18"/>
    <mergeCell ref="K18:N18"/>
    <mergeCell ref="O18:R18"/>
    <mergeCell ref="S18:V18"/>
    <mergeCell ref="B6:B9"/>
    <mergeCell ref="C9:F9"/>
    <mergeCell ref="G9:J9"/>
    <mergeCell ref="K9:N9"/>
    <mergeCell ref="O9:R9"/>
    <mergeCell ref="C4:F4"/>
    <mergeCell ref="G4:J4"/>
    <mergeCell ref="K4:N4"/>
    <mergeCell ref="O4:R4"/>
    <mergeCell ref="S4:V4"/>
  </mergeCells>
  <phoneticPr fontId="2" type="noConversion"/>
  <conditionalFormatting sqref="X1:XFD4 A1:V25 W1:W1048576 X5:X11 AB5:XFD11 X12:XFD1048576 A26:K26 M26:V26 A27:V1048576">
    <cfRule type="containsText" dxfId="92" priority="1" operator="containsText" text="이재명">
      <formula>NOT(ISERROR(SEARCH("이재명",A1)))</formula>
    </cfRule>
    <cfRule type="containsText" dxfId="91" priority="2" operator="containsText" text="김효제">
      <formula>NOT(ISERROR(SEARCH("김효제",A1)))</formula>
    </cfRule>
    <cfRule type="containsText" dxfId="90" priority="3" operator="containsText" text="현대홈">
      <formula>NOT(ISERROR(SEARCH("현대홈",A1)))</formula>
    </cfRule>
  </conditionalFormatting>
  <pageMargins left="0.39370078740157483" right="0.39370078740157483" top="0.39370078740157483" bottom="0.39370078740157483" header="0.31496062992125984" footer="0.31496062992125984"/>
  <pageSetup paperSize="9" scale="4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  <pageSetUpPr fitToPage="1"/>
  </sheetPr>
  <dimension ref="B1:AH46"/>
  <sheetViews>
    <sheetView showGridLines="0" topLeftCell="C3" zoomScale="63" zoomScaleNormal="40" workbookViewId="0">
      <selection activeCell="K32" sqref="K32"/>
    </sheetView>
  </sheetViews>
  <sheetFormatPr defaultRowHeight="30.75" customHeight="1" x14ac:dyDescent="0.3"/>
  <cols>
    <col min="1" max="1" width="4.125" style="1" customWidth="1"/>
    <col min="2" max="2" width="14" style="1" customWidth="1"/>
    <col min="3" max="3" width="8.375" style="1" customWidth="1"/>
    <col min="4" max="4" width="25.375" style="1" customWidth="1"/>
    <col min="5" max="6" width="9.125" style="1" customWidth="1"/>
    <col min="7" max="7" width="7.75" style="1" customWidth="1"/>
    <col min="8" max="8" width="25.375" style="1" customWidth="1"/>
    <col min="9" max="10" width="9.125" style="1" customWidth="1"/>
    <col min="11" max="11" width="7.75" style="1" customWidth="1"/>
    <col min="12" max="12" width="25.375" style="1" customWidth="1"/>
    <col min="13" max="14" width="9.125" style="1" customWidth="1"/>
    <col min="15" max="15" width="7.75" style="1" customWidth="1"/>
    <col min="16" max="16" width="25.375" style="1" customWidth="1"/>
    <col min="17" max="18" width="9.125" style="1" customWidth="1"/>
    <col min="19" max="19" width="7.75" style="1" customWidth="1"/>
    <col min="20" max="20" width="25.375" style="1" customWidth="1"/>
    <col min="21" max="22" width="9.125" style="1" customWidth="1"/>
    <col min="23" max="23" width="4.125" style="1" customWidth="1"/>
    <col min="24" max="16384" width="9" style="1"/>
  </cols>
  <sheetData>
    <row r="1" spans="2:22" ht="21" customHeight="1" x14ac:dyDescent="0.3">
      <c r="B1" s="207"/>
    </row>
    <row r="2" spans="2:22" ht="96" customHeight="1" thickBot="1" x14ac:dyDescent="0.35">
      <c r="B2" s="132" t="s">
        <v>91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</row>
    <row r="3" spans="2:22" ht="30.75" customHeight="1" thickTop="1" x14ac:dyDescent="0.3">
      <c r="B3" s="684" t="s">
        <v>411</v>
      </c>
      <c r="C3" s="684"/>
      <c r="D3" s="684"/>
      <c r="E3" s="684"/>
      <c r="F3" s="684"/>
      <c r="G3" s="684"/>
      <c r="H3" s="684"/>
      <c r="I3" s="684"/>
      <c r="J3" s="684"/>
      <c r="K3" s="684"/>
      <c r="L3" s="684"/>
      <c r="M3" s="684"/>
      <c r="N3" s="684"/>
      <c r="O3" s="684"/>
      <c r="P3" s="684"/>
      <c r="Q3" s="684"/>
      <c r="R3" s="684"/>
      <c r="S3" s="684"/>
      <c r="T3" s="684"/>
      <c r="U3" s="684"/>
      <c r="V3" s="684"/>
    </row>
    <row r="4" spans="2:22" ht="30.75" customHeight="1" thickBot="1" x14ac:dyDescent="0.35">
      <c r="B4" s="4" t="s">
        <v>0</v>
      </c>
      <c r="C4" s="1077" t="s">
        <v>1</v>
      </c>
      <c r="D4" s="1077"/>
      <c r="E4" s="1077"/>
      <c r="F4" s="1077"/>
      <c r="G4" s="1077" t="s">
        <v>2</v>
      </c>
      <c r="H4" s="1077"/>
      <c r="I4" s="1077"/>
      <c r="J4" s="1077"/>
      <c r="K4" s="1077" t="s">
        <v>3</v>
      </c>
      <c r="L4" s="1077"/>
      <c r="M4" s="1077"/>
      <c r="N4" s="1077"/>
      <c r="O4" s="1077" t="s">
        <v>4</v>
      </c>
      <c r="P4" s="1077"/>
      <c r="Q4" s="1077"/>
      <c r="R4" s="1077"/>
      <c r="S4" s="1077" t="s">
        <v>5</v>
      </c>
      <c r="T4" s="1077"/>
      <c r="U4" s="1077"/>
      <c r="V4" s="1078"/>
    </row>
    <row r="5" spans="2:22" ht="30.75" customHeight="1" thickTop="1" thickBot="1" x14ac:dyDescent="0.35">
      <c r="B5" s="34" t="s">
        <v>28</v>
      </c>
      <c r="C5" s="2"/>
      <c r="D5" s="3"/>
      <c r="E5" s="3"/>
      <c r="F5" s="4"/>
      <c r="G5" s="5"/>
      <c r="H5" s="3"/>
      <c r="I5" s="3"/>
      <c r="J5" s="6"/>
      <c r="K5" s="5"/>
      <c r="L5" s="3"/>
      <c r="M5" s="3"/>
      <c r="N5" s="6"/>
      <c r="O5" s="5"/>
      <c r="P5" s="3"/>
      <c r="Q5" s="3"/>
      <c r="R5" s="6"/>
      <c r="S5" s="5">
        <v>1</v>
      </c>
      <c r="T5" s="3" t="s">
        <v>6</v>
      </c>
      <c r="U5" s="3" t="s">
        <v>7</v>
      </c>
      <c r="V5" s="16" t="s">
        <v>8</v>
      </c>
    </row>
    <row r="6" spans="2:22" ht="30.75" hidden="1" customHeight="1" thickTop="1" x14ac:dyDescent="0.3">
      <c r="B6" s="1085" t="s">
        <v>9</v>
      </c>
      <c r="C6" s="241"/>
      <c r="D6" s="213"/>
      <c r="E6" s="214"/>
      <c r="F6" s="242"/>
      <c r="G6" s="212"/>
      <c r="H6" s="213"/>
      <c r="I6" s="214"/>
      <c r="J6" s="215"/>
      <c r="K6" s="212"/>
      <c r="L6" s="213"/>
      <c r="M6" s="214"/>
      <c r="N6" s="215"/>
      <c r="O6" s="212"/>
      <c r="P6" s="213"/>
      <c r="Q6" s="214"/>
      <c r="R6" s="215"/>
      <c r="S6" s="212"/>
      <c r="T6" s="213"/>
      <c r="U6" s="214"/>
      <c r="V6" s="216"/>
    </row>
    <row r="7" spans="2:22" ht="30.75" hidden="1" customHeight="1" x14ac:dyDescent="0.3">
      <c r="B7" s="1085"/>
      <c r="C7" s="243"/>
      <c r="D7" s="218"/>
      <c r="E7" s="219"/>
      <c r="F7" s="244"/>
      <c r="G7" s="221"/>
      <c r="H7" s="218"/>
      <c r="I7" s="219"/>
      <c r="J7" s="220"/>
      <c r="K7" s="217"/>
      <c r="L7" s="218"/>
      <c r="M7" s="219"/>
      <c r="N7" s="220"/>
      <c r="O7" s="217"/>
      <c r="P7" s="218"/>
      <c r="Q7" s="219"/>
      <c r="R7" s="220"/>
      <c r="S7" s="221"/>
      <c r="T7" s="218"/>
      <c r="U7" s="219"/>
      <c r="V7" s="222"/>
    </row>
    <row r="8" spans="2:22" ht="30.75" hidden="1" customHeight="1" x14ac:dyDescent="0.3">
      <c r="B8" s="1085"/>
      <c r="C8" s="245"/>
      <c r="D8" s="224"/>
      <c r="E8" s="225"/>
      <c r="F8" s="246"/>
      <c r="G8" s="223"/>
      <c r="H8" s="224"/>
      <c r="I8" s="225"/>
      <c r="J8" s="226"/>
      <c r="K8" s="223"/>
      <c r="L8" s="224"/>
      <c r="M8" s="225"/>
      <c r="N8" s="226"/>
      <c r="O8" s="223"/>
      <c r="P8" s="224"/>
      <c r="Q8" s="225"/>
      <c r="R8" s="226"/>
      <c r="S8" s="223"/>
      <c r="T8" s="224"/>
      <c r="U8" s="225"/>
      <c r="V8" s="227"/>
    </row>
    <row r="9" spans="2:22" ht="42" hidden="1" customHeight="1" x14ac:dyDescent="0.3">
      <c r="B9" s="1086"/>
      <c r="C9" s="1124"/>
      <c r="D9" s="1122"/>
      <c r="E9" s="1122"/>
      <c r="F9" s="1123"/>
      <c r="G9" s="1121"/>
      <c r="H9" s="1122"/>
      <c r="I9" s="1122"/>
      <c r="J9" s="1123"/>
      <c r="K9" s="1121"/>
      <c r="L9" s="1122"/>
      <c r="M9" s="1122"/>
      <c r="N9" s="1123"/>
      <c r="O9" s="1121"/>
      <c r="P9" s="1122"/>
      <c r="Q9" s="1122"/>
      <c r="R9" s="1123"/>
      <c r="S9" s="1121"/>
      <c r="T9" s="1122"/>
      <c r="U9" s="1122"/>
      <c r="V9" s="1122"/>
    </row>
    <row r="10" spans="2:22" ht="30.75" hidden="1" customHeight="1" x14ac:dyDescent="0.3">
      <c r="B10" s="1087" t="s">
        <v>12</v>
      </c>
      <c r="C10" s="199"/>
      <c r="D10" s="200"/>
      <c r="E10" s="201"/>
      <c r="F10" s="202"/>
      <c r="G10" s="228"/>
      <c r="H10" s="200"/>
      <c r="I10" s="201"/>
      <c r="J10" s="229"/>
      <c r="K10" s="228"/>
      <c r="L10" s="200"/>
      <c r="M10" s="201"/>
      <c r="N10" s="229"/>
      <c r="O10" s="228"/>
      <c r="P10" s="200"/>
      <c r="Q10" s="201"/>
      <c r="R10" s="229"/>
      <c r="S10" s="228"/>
      <c r="T10" s="200"/>
      <c r="U10" s="201"/>
      <c r="V10" s="230"/>
    </row>
    <row r="11" spans="2:22" ht="30.75" hidden="1" customHeight="1" x14ac:dyDescent="0.3">
      <c r="B11" s="1088"/>
      <c r="C11" s="203"/>
      <c r="D11" s="204"/>
      <c r="E11" s="205"/>
      <c r="F11" s="206"/>
      <c r="G11" s="231"/>
      <c r="H11" s="204"/>
      <c r="I11" s="205"/>
      <c r="J11" s="232"/>
      <c r="K11" s="231"/>
      <c r="L11" s="204"/>
      <c r="M11" s="205"/>
      <c r="N11" s="232"/>
      <c r="O11" s="231"/>
      <c r="P11" s="204"/>
      <c r="Q11" s="205"/>
      <c r="R11" s="232"/>
      <c r="S11" s="231"/>
      <c r="T11" s="204"/>
      <c r="U11" s="205"/>
      <c r="V11" s="233"/>
    </row>
    <row r="12" spans="2:22" ht="30.75" hidden="1" customHeight="1" x14ac:dyDescent="0.3">
      <c r="B12" s="18" t="s">
        <v>13</v>
      </c>
      <c r="C12" s="247"/>
      <c r="D12" s="235"/>
      <c r="E12" s="236"/>
      <c r="F12" s="248"/>
      <c r="G12" s="234"/>
      <c r="H12" s="235"/>
      <c r="I12" s="236"/>
      <c r="J12" s="237"/>
      <c r="K12" s="234"/>
      <c r="L12" s="235"/>
      <c r="M12" s="236"/>
      <c r="N12" s="237"/>
      <c r="O12" s="234"/>
      <c r="P12" s="235"/>
      <c r="Q12" s="236"/>
      <c r="R12" s="237"/>
      <c r="S12" s="238"/>
      <c r="T12" s="235"/>
      <c r="U12" s="236"/>
      <c r="V12" s="239"/>
    </row>
    <row r="13" spans="2:22" ht="30.75" customHeight="1" thickTop="1" thickBot="1" x14ac:dyDescent="0.35">
      <c r="B13" s="35" t="s">
        <v>29</v>
      </c>
      <c r="C13" s="2">
        <f>S5+3</f>
        <v>4</v>
      </c>
      <c r="D13" s="3" t="s">
        <v>6</v>
      </c>
      <c r="E13" s="3" t="s">
        <v>7</v>
      </c>
      <c r="F13" s="4" t="s">
        <v>8</v>
      </c>
      <c r="G13" s="5">
        <f>C13+1</f>
        <v>5</v>
      </c>
      <c r="H13" s="3" t="s">
        <v>6</v>
      </c>
      <c r="I13" s="3" t="s">
        <v>7</v>
      </c>
      <c r="J13" s="6" t="s">
        <v>8</v>
      </c>
      <c r="K13" s="5">
        <f>G13+1</f>
        <v>6</v>
      </c>
      <c r="L13" s="3" t="s">
        <v>6</v>
      </c>
      <c r="M13" s="3" t="s">
        <v>7</v>
      </c>
      <c r="N13" s="6" t="s">
        <v>8</v>
      </c>
      <c r="O13" s="5">
        <f>K13+1</f>
        <v>7</v>
      </c>
      <c r="P13" s="3" t="s">
        <v>6</v>
      </c>
      <c r="Q13" s="3" t="s">
        <v>7</v>
      </c>
      <c r="R13" s="6" t="s">
        <v>8</v>
      </c>
      <c r="S13" s="5">
        <f>O13+1</f>
        <v>8</v>
      </c>
      <c r="T13" s="3" t="s">
        <v>6</v>
      </c>
      <c r="U13" s="3" t="s">
        <v>7</v>
      </c>
      <c r="V13" s="16" t="s">
        <v>8</v>
      </c>
    </row>
    <row r="14" spans="2:22" ht="30.75" customHeight="1" thickTop="1" x14ac:dyDescent="0.3">
      <c r="B14" s="1085" t="s">
        <v>9</v>
      </c>
      <c r="C14" s="36">
        <v>0.39583333333333331</v>
      </c>
      <c r="D14" s="37" t="s">
        <v>79</v>
      </c>
      <c r="E14" s="38"/>
      <c r="F14" s="39"/>
      <c r="G14" s="212"/>
      <c r="H14" s="213"/>
      <c r="I14" s="214"/>
      <c r="J14" s="215"/>
      <c r="K14" s="40">
        <v>0.375</v>
      </c>
      <c r="L14" s="37" t="s">
        <v>383</v>
      </c>
      <c r="M14" s="38"/>
      <c r="N14" s="41"/>
      <c r="O14" s="24">
        <v>0.40277777777777779</v>
      </c>
      <c r="P14" s="20" t="s">
        <v>264</v>
      </c>
      <c r="Q14" s="21"/>
      <c r="R14" s="23"/>
      <c r="S14" s="40">
        <v>0.40277777777777779</v>
      </c>
      <c r="T14" s="37" t="s">
        <v>149</v>
      </c>
      <c r="U14" s="38"/>
      <c r="V14" s="43"/>
    </row>
    <row r="15" spans="2:22" ht="30.75" customHeight="1" x14ac:dyDescent="0.3">
      <c r="B15" s="1085"/>
      <c r="C15" s="240">
        <v>0.45833333333333331</v>
      </c>
      <c r="D15" s="45" t="s">
        <v>80</v>
      </c>
      <c r="E15" s="46"/>
      <c r="F15" s="47"/>
      <c r="G15" s="221"/>
      <c r="H15" s="218"/>
      <c r="I15" s="219"/>
      <c r="J15" s="220"/>
      <c r="K15" s="50">
        <v>0.45833333333333331</v>
      </c>
      <c r="L15" s="45" t="s">
        <v>402</v>
      </c>
      <c r="M15" s="46"/>
      <c r="N15" s="52"/>
      <c r="O15" s="50">
        <v>0.54166666666666663</v>
      </c>
      <c r="P15" s="45" t="s">
        <v>409</v>
      </c>
      <c r="Q15" s="46"/>
      <c r="R15" s="49"/>
      <c r="S15" s="683">
        <v>0.5</v>
      </c>
      <c r="T15" s="260" t="s">
        <v>85</v>
      </c>
      <c r="U15" s="606"/>
      <c r="V15" s="689"/>
    </row>
    <row r="16" spans="2:22" ht="30.75" customHeight="1" x14ac:dyDescent="0.3">
      <c r="B16" s="1085"/>
      <c r="C16" s="53"/>
      <c r="D16" s="54"/>
      <c r="E16" s="55"/>
      <c r="F16" s="56"/>
      <c r="G16" s="223"/>
      <c r="H16" s="224"/>
      <c r="I16" s="225"/>
      <c r="J16" s="226"/>
      <c r="K16" s="690">
        <v>0.58333333333333337</v>
      </c>
      <c r="L16" s="691" t="s">
        <v>355</v>
      </c>
      <c r="M16" s="692"/>
      <c r="N16" s="693"/>
      <c r="O16" s="741"/>
      <c r="P16" s="742"/>
      <c r="Q16" s="743"/>
      <c r="R16" s="744"/>
      <c r="S16" s="57"/>
      <c r="T16" s="54"/>
      <c r="U16" s="55"/>
      <c r="V16" s="60"/>
    </row>
    <row r="17" spans="2:34" ht="42" customHeight="1" thickBot="1" x14ac:dyDescent="0.35">
      <c r="B17" s="1086"/>
      <c r="C17" s="1108" t="s">
        <v>395</v>
      </c>
      <c r="D17" s="1103"/>
      <c r="E17" s="1103"/>
      <c r="F17" s="1109"/>
      <c r="G17" s="1121"/>
      <c r="H17" s="1122"/>
      <c r="I17" s="1122"/>
      <c r="J17" s="1123"/>
      <c r="K17" s="1102" t="s">
        <v>408</v>
      </c>
      <c r="L17" s="1103"/>
      <c r="M17" s="1103"/>
      <c r="N17" s="1109"/>
      <c r="O17" s="1170" t="s">
        <v>389</v>
      </c>
      <c r="P17" s="1171"/>
      <c r="Q17" s="1171"/>
      <c r="R17" s="1172"/>
      <c r="S17" s="1138"/>
      <c r="T17" s="1139"/>
      <c r="U17" s="1139"/>
      <c r="V17" s="1139"/>
    </row>
    <row r="18" spans="2:34" ht="30.75" customHeight="1" thickTop="1" x14ac:dyDescent="0.3">
      <c r="B18" s="1079" t="s">
        <v>12</v>
      </c>
      <c r="C18" s="62">
        <v>0.39583333333333331</v>
      </c>
      <c r="D18" s="63" t="s">
        <v>369</v>
      </c>
      <c r="E18" s="64"/>
      <c r="F18" s="61"/>
      <c r="G18" s="228"/>
      <c r="H18" s="200"/>
      <c r="I18" s="201"/>
      <c r="J18" s="229"/>
      <c r="K18" s="65">
        <v>0.39583333333333331</v>
      </c>
      <c r="L18" s="63" t="s">
        <v>403</v>
      </c>
      <c r="M18" s="64"/>
      <c r="N18" s="66"/>
      <c r="O18" s="65">
        <v>0.39583333333333331</v>
      </c>
      <c r="P18" s="63" t="s">
        <v>410</v>
      </c>
      <c r="Q18" s="64"/>
      <c r="R18" s="67"/>
      <c r="S18" s="756">
        <v>0.39583333333333331</v>
      </c>
      <c r="T18" s="757" t="s">
        <v>322</v>
      </c>
      <c r="U18" s="758"/>
      <c r="V18" s="759"/>
    </row>
    <row r="19" spans="2:34" ht="30.75" customHeight="1" thickBot="1" x14ac:dyDescent="0.35">
      <c r="B19" s="1080"/>
      <c r="C19" s="69"/>
      <c r="D19" s="70"/>
      <c r="E19" s="71"/>
      <c r="F19" s="68"/>
      <c r="G19" s="231"/>
      <c r="H19" s="204"/>
      <c r="I19" s="205"/>
      <c r="J19" s="232"/>
      <c r="K19" s="72">
        <v>0.46875</v>
      </c>
      <c r="L19" s="70" t="s">
        <v>387</v>
      </c>
      <c r="M19" s="71"/>
      <c r="N19" s="73"/>
      <c r="O19" s="72"/>
      <c r="P19" s="70"/>
      <c r="Q19" s="71"/>
      <c r="R19" s="74"/>
      <c r="S19" s="760">
        <v>0.45833333333333331</v>
      </c>
      <c r="T19" s="753" t="s">
        <v>379</v>
      </c>
      <c r="U19" s="754"/>
      <c r="V19" s="761"/>
    </row>
    <row r="20" spans="2:34" ht="30.75" customHeight="1" thickTop="1" x14ac:dyDescent="0.3">
      <c r="B20" s="9" t="s">
        <v>13</v>
      </c>
      <c r="C20" s="10"/>
      <c r="D20" s="11"/>
      <c r="E20" s="12"/>
      <c r="F20" s="9"/>
      <c r="G20" s="714"/>
      <c r="H20" s="460"/>
      <c r="I20" s="461"/>
      <c r="J20" s="715"/>
      <c r="K20" s="22"/>
      <c r="L20" s="20"/>
      <c r="M20" s="21"/>
      <c r="N20" s="23"/>
      <c r="O20" s="22"/>
      <c r="P20" s="20"/>
      <c r="Q20" s="21"/>
      <c r="R20" s="23"/>
      <c r="S20" s="15"/>
      <c r="T20" s="11"/>
      <c r="U20" s="12"/>
      <c r="V20" s="17"/>
    </row>
    <row r="21" spans="2:34" ht="30.75" customHeight="1" thickBot="1" x14ac:dyDescent="0.35">
      <c r="B21" s="35" t="s">
        <v>30</v>
      </c>
      <c r="C21" s="2">
        <f>S13+3</f>
        <v>11</v>
      </c>
      <c r="D21" s="3" t="s">
        <v>6</v>
      </c>
      <c r="E21" s="3" t="s">
        <v>7</v>
      </c>
      <c r="F21" s="712" t="s">
        <v>8</v>
      </c>
      <c r="G21" s="717">
        <f>C21+1</f>
        <v>12</v>
      </c>
      <c r="H21" s="718" t="s">
        <v>6</v>
      </c>
      <c r="I21" s="718" t="s">
        <v>7</v>
      </c>
      <c r="J21" s="719" t="s">
        <v>8</v>
      </c>
      <c r="K21" s="717">
        <f>G21+1</f>
        <v>13</v>
      </c>
      <c r="L21" s="718" t="s">
        <v>6</v>
      </c>
      <c r="M21" s="718" t="s">
        <v>7</v>
      </c>
      <c r="N21" s="719" t="s">
        <v>8</v>
      </c>
      <c r="O21" s="717">
        <f>K21+1</f>
        <v>14</v>
      </c>
      <c r="P21" s="718" t="s">
        <v>6</v>
      </c>
      <c r="Q21" s="718" t="s">
        <v>7</v>
      </c>
      <c r="R21" s="720" t="s">
        <v>8</v>
      </c>
      <c r="S21" s="300">
        <f>O21+1</f>
        <v>15</v>
      </c>
      <c r="T21" s="3" t="s">
        <v>6</v>
      </c>
      <c r="U21" s="3" t="s">
        <v>7</v>
      </c>
      <c r="V21" s="16" t="s">
        <v>8</v>
      </c>
    </row>
    <row r="22" spans="2:34" ht="30.75" customHeight="1" thickTop="1" x14ac:dyDescent="0.3">
      <c r="B22" s="1085" t="s">
        <v>9</v>
      </c>
      <c r="C22" s="36">
        <v>0.375</v>
      </c>
      <c r="D22" s="37" t="s">
        <v>284</v>
      </c>
      <c r="E22" s="38"/>
      <c r="F22" s="449"/>
      <c r="G22" s="721">
        <v>0.375</v>
      </c>
      <c r="H22" s="37" t="s">
        <v>366</v>
      </c>
      <c r="I22" s="38"/>
      <c r="J22" s="43"/>
      <c r="K22" s="721">
        <v>0.375</v>
      </c>
      <c r="L22" s="37" t="s">
        <v>352</v>
      </c>
      <c r="M22" s="697" t="s">
        <v>404</v>
      </c>
      <c r="N22" s="43"/>
      <c r="O22" s="721">
        <v>0.40277777777777779</v>
      </c>
      <c r="P22" s="37" t="s">
        <v>153</v>
      </c>
      <c r="Q22" s="38"/>
      <c r="R22" s="722"/>
      <c r="S22" s="347">
        <v>0.41666666666666669</v>
      </c>
      <c r="T22" s="37" t="s">
        <v>365</v>
      </c>
      <c r="U22" s="38"/>
      <c r="V22" s="43"/>
    </row>
    <row r="23" spans="2:34" ht="30.75" customHeight="1" x14ac:dyDescent="0.3">
      <c r="B23" s="1085"/>
      <c r="C23" s="240">
        <v>0.47916666666666669</v>
      </c>
      <c r="D23" s="45" t="s">
        <v>51</v>
      </c>
      <c r="E23" s="46"/>
      <c r="F23" s="450"/>
      <c r="G23" s="723">
        <v>0.4375</v>
      </c>
      <c r="H23" s="45" t="s">
        <v>164</v>
      </c>
      <c r="I23" s="46"/>
      <c r="J23" s="52"/>
      <c r="K23" s="723">
        <v>0.4375</v>
      </c>
      <c r="L23" s="45" t="s">
        <v>400</v>
      </c>
      <c r="M23" s="698" t="s">
        <v>401</v>
      </c>
      <c r="N23" s="52"/>
      <c r="O23" s="723"/>
      <c r="P23" s="45"/>
      <c r="Q23" s="46"/>
      <c r="R23" s="724"/>
      <c r="S23" s="301">
        <v>0.58333333333333337</v>
      </c>
      <c r="T23" s="45" t="s">
        <v>397</v>
      </c>
      <c r="U23" s="46"/>
    </row>
    <row r="24" spans="2:34" ht="30.75" customHeight="1" x14ac:dyDescent="0.3">
      <c r="B24" s="1085"/>
      <c r="C24" s="53"/>
      <c r="D24" s="54"/>
      <c r="E24" s="55"/>
      <c r="F24" s="713"/>
      <c r="G24" s="725">
        <v>0.46527777777777779</v>
      </c>
      <c r="H24" s="54" t="s">
        <v>378</v>
      </c>
      <c r="I24" s="55"/>
      <c r="J24" s="60"/>
      <c r="K24" s="725"/>
      <c r="L24" s="54"/>
      <c r="M24" s="726"/>
      <c r="N24" s="60"/>
      <c r="O24" s="727"/>
      <c r="P24" s="54"/>
      <c r="Q24" s="55"/>
      <c r="R24" s="728"/>
      <c r="S24" s="324"/>
      <c r="T24" s="54"/>
      <c r="U24" s="52"/>
      <c r="V24" s="60"/>
    </row>
    <row r="25" spans="2:34" ht="42" customHeight="1" thickBot="1" x14ac:dyDescent="0.35">
      <c r="B25" s="1086"/>
      <c r="C25" s="1173" t="s">
        <v>390</v>
      </c>
      <c r="D25" s="1174"/>
      <c r="E25" s="1174"/>
      <c r="F25" s="1174"/>
      <c r="G25" s="1175" t="s">
        <v>385</v>
      </c>
      <c r="H25" s="1103"/>
      <c r="I25" s="1103"/>
      <c r="J25" s="1103"/>
      <c r="K25" s="1176"/>
      <c r="L25" s="1177"/>
      <c r="M25" s="1177"/>
      <c r="N25" s="1177"/>
      <c r="O25" s="1188" t="s">
        <v>412</v>
      </c>
      <c r="P25" s="1189"/>
      <c r="Q25" s="1189"/>
      <c r="R25" s="1190"/>
      <c r="S25" s="1103"/>
      <c r="T25" s="1103"/>
      <c r="U25" s="1103"/>
      <c r="V25" s="1103"/>
    </row>
    <row r="26" spans="2:34" ht="30.75" customHeight="1" thickTop="1" thickBot="1" x14ac:dyDescent="0.35">
      <c r="B26" s="1104" t="s">
        <v>12</v>
      </c>
      <c r="C26" s="746">
        <v>0.40277777777777779</v>
      </c>
      <c r="D26" s="747" t="s">
        <v>216</v>
      </c>
      <c r="E26" s="748"/>
      <c r="F26" s="749"/>
      <c r="G26" s="701">
        <v>0.375</v>
      </c>
      <c r="H26" s="77" t="s">
        <v>362</v>
      </c>
      <c r="I26" s="78"/>
      <c r="J26" s="81"/>
      <c r="K26" s="729">
        <v>0.375</v>
      </c>
      <c r="L26" s="730" t="s">
        <v>47</v>
      </c>
      <c r="M26" s="734" t="s">
        <v>405</v>
      </c>
      <c r="N26" s="731"/>
      <c r="O26" s="701">
        <v>0.41666666666666669</v>
      </c>
      <c r="P26" s="77" t="s">
        <v>406</v>
      </c>
      <c r="Q26" s="78"/>
      <c r="R26" s="732"/>
      <c r="S26" s="701">
        <v>0.41666666666666669</v>
      </c>
      <c r="T26" s="77" t="s">
        <v>184</v>
      </c>
      <c r="U26" s="78"/>
      <c r="V26" s="81"/>
    </row>
    <row r="27" spans="2:34" ht="30.75" customHeight="1" thickTop="1" thickBot="1" x14ac:dyDescent="0.35">
      <c r="B27" s="1178"/>
      <c r="C27" s="750">
        <v>0.45833333333333331</v>
      </c>
      <c r="D27" s="703" t="s">
        <v>69</v>
      </c>
      <c r="E27" s="704"/>
      <c r="F27" s="751"/>
      <c r="G27" s="706">
        <v>0.42708333333333331</v>
      </c>
      <c r="H27" s="703" t="s">
        <v>241</v>
      </c>
      <c r="I27" s="704"/>
      <c r="J27" s="707"/>
      <c r="K27" s="766">
        <v>0.40277777777777779</v>
      </c>
      <c r="L27" s="464" t="s">
        <v>22</v>
      </c>
      <c r="M27" s="465" t="s">
        <v>374</v>
      </c>
      <c r="N27" s="767"/>
      <c r="O27" s="706">
        <v>0.47222222222222221</v>
      </c>
      <c r="P27" s="703" t="s">
        <v>391</v>
      </c>
      <c r="Q27" s="704"/>
      <c r="R27" s="733"/>
      <c r="S27" s="706"/>
      <c r="T27" s="703"/>
      <c r="U27" s="704"/>
      <c r="V27" s="707"/>
    </row>
    <row r="28" spans="2:34" ht="30.75" customHeight="1" thickTop="1" thickBot="1" x14ac:dyDescent="0.35">
      <c r="B28" s="1105"/>
      <c r="C28" s="752"/>
      <c r="D28" s="753"/>
      <c r="E28" s="754"/>
      <c r="F28" s="755"/>
      <c r="G28" s="745">
        <v>0.40277777777777779</v>
      </c>
      <c r="H28" s="730" t="s">
        <v>321</v>
      </c>
      <c r="I28" s="734" t="s">
        <v>405</v>
      </c>
      <c r="J28" s="762"/>
      <c r="K28" s="763">
        <v>0.4375</v>
      </c>
      <c r="L28" s="764" t="s">
        <v>213</v>
      </c>
      <c r="M28" s="754" t="s">
        <v>374</v>
      </c>
      <c r="N28" s="765"/>
      <c r="O28" s="303"/>
      <c r="P28" s="70"/>
      <c r="Q28" s="71"/>
      <c r="R28" s="735"/>
      <c r="S28" s="303"/>
      <c r="T28" s="70"/>
      <c r="U28" s="71"/>
      <c r="V28" s="74"/>
    </row>
    <row r="29" spans="2:34" ht="30.75" customHeight="1" thickTop="1" thickBot="1" x14ac:dyDescent="0.35">
      <c r="B29" s="9" t="s">
        <v>13</v>
      </c>
      <c r="C29" s="10"/>
      <c r="D29" s="11"/>
      <c r="E29" s="12"/>
      <c r="F29" s="299"/>
      <c r="G29" s="736"/>
      <c r="H29" s="737"/>
      <c r="I29" s="738"/>
      <c r="J29" s="739"/>
      <c r="K29" s="736"/>
      <c r="L29" s="737"/>
      <c r="M29" s="738"/>
      <c r="N29" s="739"/>
      <c r="O29" s="736"/>
      <c r="P29" s="737"/>
      <c r="Q29" s="738"/>
      <c r="R29" s="740"/>
      <c r="S29" s="455"/>
      <c r="T29" s="20"/>
      <c r="U29" s="21"/>
      <c r="V29" s="25"/>
      <c r="AH29" s="1" t="s">
        <v>421</v>
      </c>
    </row>
    <row r="30" spans="2:34" ht="30.75" customHeight="1" thickTop="1" thickBot="1" x14ac:dyDescent="0.35">
      <c r="B30" s="35" t="s">
        <v>31</v>
      </c>
      <c r="C30" s="2">
        <f>S21+3</f>
        <v>18</v>
      </c>
      <c r="D30" s="3" t="s">
        <v>6</v>
      </c>
      <c r="E30" s="3" t="s">
        <v>7</v>
      </c>
      <c r="F30" s="4" t="s">
        <v>8</v>
      </c>
      <c r="G30" s="282">
        <f>C30+1</f>
        <v>19</v>
      </c>
      <c r="H30" s="283" t="s">
        <v>6</v>
      </c>
      <c r="I30" s="283" t="s">
        <v>7</v>
      </c>
      <c r="J30" s="484" t="s">
        <v>8</v>
      </c>
      <c r="K30" s="282">
        <f>G30+1</f>
        <v>20</v>
      </c>
      <c r="L30" s="283" t="s">
        <v>6</v>
      </c>
      <c r="M30" s="283" t="s">
        <v>7</v>
      </c>
      <c r="N30" s="484" t="s">
        <v>8</v>
      </c>
      <c r="O30" s="282">
        <f>K30+1</f>
        <v>21</v>
      </c>
      <c r="P30" s="283" t="s">
        <v>6</v>
      </c>
      <c r="Q30" s="283" t="s">
        <v>7</v>
      </c>
      <c r="R30" s="284" t="s">
        <v>8</v>
      </c>
      <c r="S30" s="285">
        <f>O30+1</f>
        <v>22</v>
      </c>
      <c r="T30" s="286" t="s">
        <v>6</v>
      </c>
      <c r="U30" s="286" t="s">
        <v>7</v>
      </c>
      <c r="V30" s="287" t="s">
        <v>8</v>
      </c>
    </row>
    <row r="31" spans="2:34" ht="30.75" customHeight="1" thickTop="1" x14ac:dyDescent="0.3">
      <c r="B31" s="1085" t="s">
        <v>9</v>
      </c>
      <c r="C31" s="669">
        <v>0.39583333333333331</v>
      </c>
      <c r="D31" s="20" t="s">
        <v>311</v>
      </c>
      <c r="E31" s="21"/>
      <c r="F31" s="18"/>
      <c r="G31" s="40">
        <v>0.40277777777777779</v>
      </c>
      <c r="H31" s="37" t="s">
        <v>265</v>
      </c>
      <c r="I31" s="38"/>
      <c r="J31" s="41"/>
      <c r="K31" s="40">
        <v>0.39583333333333331</v>
      </c>
      <c r="L31" s="37" t="s">
        <v>407</v>
      </c>
      <c r="M31" s="38"/>
      <c r="N31" s="41"/>
      <c r="O31" s="40">
        <v>0.39583333333333331</v>
      </c>
      <c r="P31" s="37" t="s">
        <v>370</v>
      </c>
      <c r="Q31" s="38"/>
      <c r="R31" s="43"/>
      <c r="S31" s="288">
        <v>0.375</v>
      </c>
      <c r="T31" s="37" t="s">
        <v>205</v>
      </c>
      <c r="U31" s="38"/>
      <c r="V31" s="289"/>
    </row>
    <row r="32" spans="2:34" ht="30.75" customHeight="1" x14ac:dyDescent="0.3">
      <c r="B32" s="1110"/>
      <c r="C32" s="685">
        <v>0.46875</v>
      </c>
      <c r="D32" s="686" t="s">
        <v>44</v>
      </c>
      <c r="E32" s="687"/>
      <c r="F32" s="688"/>
      <c r="G32" s="673"/>
      <c r="H32" s="674"/>
      <c r="I32" s="675"/>
      <c r="J32" s="676"/>
      <c r="K32" s="50">
        <v>0.45833333333333331</v>
      </c>
      <c r="L32" s="45" t="s">
        <v>381</v>
      </c>
      <c r="M32" s="46"/>
      <c r="N32" s="49"/>
      <c r="O32" s="50"/>
      <c r="P32" s="45"/>
      <c r="Q32" s="46"/>
      <c r="R32" s="52"/>
      <c r="S32" s="779">
        <v>0.4375</v>
      </c>
      <c r="T32" s="118" t="s">
        <v>413</v>
      </c>
      <c r="U32" s="91"/>
      <c r="V32" s="780"/>
    </row>
    <row r="33" spans="2:22" ht="30.75" customHeight="1" x14ac:dyDescent="0.3">
      <c r="B33" s="1085"/>
      <c r="C33" s="770">
        <v>0.60416666666666663</v>
      </c>
      <c r="D33" s="771" t="s">
        <v>414</v>
      </c>
      <c r="E33" s="772"/>
      <c r="F33" s="773"/>
      <c r="G33" s="57"/>
      <c r="H33" s="54"/>
      <c r="I33" s="55"/>
      <c r="J33" s="58"/>
      <c r="K33" s="57"/>
      <c r="L33" s="54"/>
      <c r="M33" s="55"/>
      <c r="N33" s="58"/>
      <c r="O33" s="57"/>
      <c r="P33" s="54"/>
      <c r="Q33" s="55"/>
      <c r="R33" s="60"/>
      <c r="S33" s="677"/>
      <c r="T33" s="54"/>
      <c r="U33" s="55"/>
      <c r="V33" s="383"/>
    </row>
    <row r="34" spans="2:22" ht="42" customHeight="1" thickBot="1" x14ac:dyDescent="0.35">
      <c r="B34" s="1086"/>
      <c r="C34" s="1179" t="s">
        <v>415</v>
      </c>
      <c r="D34" s="1180"/>
      <c r="E34" s="1180"/>
      <c r="F34" s="1181"/>
      <c r="K34" s="1182" t="s">
        <v>392</v>
      </c>
      <c r="L34" s="1183"/>
      <c r="M34" s="1183"/>
      <c r="N34" s="1184"/>
      <c r="O34" s="1102"/>
      <c r="P34" s="1103"/>
      <c r="Q34" s="1103"/>
      <c r="R34" s="1103"/>
      <c r="S34" s="1185" t="s">
        <v>420</v>
      </c>
      <c r="T34" s="1186"/>
      <c r="U34" s="1186"/>
      <c r="V34" s="1187"/>
    </row>
    <row r="35" spans="2:22" ht="30.75" customHeight="1" thickTop="1" x14ac:dyDescent="0.3">
      <c r="B35" s="1104" t="s">
        <v>12</v>
      </c>
      <c r="C35" s="768">
        <v>0.40277777777777779</v>
      </c>
      <c r="D35" s="757" t="s">
        <v>152</v>
      </c>
      <c r="E35" s="758"/>
      <c r="F35" s="769"/>
      <c r="G35" s="302">
        <v>0.39583333333333331</v>
      </c>
      <c r="H35" s="63" t="s">
        <v>303</v>
      </c>
      <c r="I35" s="666"/>
      <c r="J35" s="667"/>
      <c r="K35" s="65">
        <v>0.39583333333333331</v>
      </c>
      <c r="L35" s="63" t="s">
        <v>319</v>
      </c>
      <c r="M35" s="64"/>
      <c r="N35" s="66"/>
      <c r="O35" s="65">
        <v>0.38541666666666669</v>
      </c>
      <c r="P35" s="63" t="s">
        <v>94</v>
      </c>
      <c r="Q35" s="64"/>
      <c r="R35" s="67"/>
      <c r="S35" s="290">
        <v>0.39583333333333331</v>
      </c>
      <c r="T35" s="63" t="s">
        <v>200</v>
      </c>
      <c r="U35" s="64"/>
      <c r="V35" s="291"/>
    </row>
    <row r="36" spans="2:22" ht="30.75" customHeight="1" thickBot="1" x14ac:dyDescent="0.35">
      <c r="B36" s="1105"/>
      <c r="C36" s="752">
        <v>0.45833333333333331</v>
      </c>
      <c r="D36" s="753" t="s">
        <v>386</v>
      </c>
      <c r="E36" s="754"/>
      <c r="F36" s="755"/>
      <c r="G36" s="303"/>
      <c r="H36" s="70"/>
      <c r="I36" s="71"/>
      <c r="J36" s="73"/>
      <c r="K36" s="72"/>
      <c r="L36" s="70"/>
      <c r="M36" s="71"/>
      <c r="N36" s="73"/>
      <c r="O36" s="72">
        <v>0.4236111111111111</v>
      </c>
      <c r="P36" s="70" t="s">
        <v>41</v>
      </c>
      <c r="Q36" s="71"/>
      <c r="R36" s="74"/>
      <c r="S36" s="781">
        <v>0.4375</v>
      </c>
      <c r="T36" s="782" t="s">
        <v>34</v>
      </c>
      <c r="U36" s="783"/>
      <c r="V36" s="784"/>
    </row>
    <row r="37" spans="2:22" ht="30.75" customHeight="1" thickTop="1" x14ac:dyDescent="0.3">
      <c r="B37" s="9" t="s">
        <v>13</v>
      </c>
      <c r="C37" s="10"/>
      <c r="D37" s="11"/>
      <c r="E37" s="12"/>
      <c r="F37" s="9"/>
      <c r="G37" s="13"/>
      <c r="H37" s="11"/>
      <c r="I37" s="12"/>
      <c r="J37" s="14"/>
      <c r="K37" s="13"/>
      <c r="L37" s="11"/>
      <c r="M37" s="12"/>
      <c r="N37" s="14"/>
      <c r="O37" s="13"/>
      <c r="P37" s="11"/>
      <c r="Q37" s="12"/>
      <c r="R37" s="14"/>
      <c r="S37" s="15"/>
      <c r="T37" s="11"/>
      <c r="U37" s="12"/>
      <c r="V37" s="17"/>
    </row>
    <row r="38" spans="2:22" ht="30.75" customHeight="1" thickBot="1" x14ac:dyDescent="0.35">
      <c r="B38" s="35" t="s">
        <v>32</v>
      </c>
      <c r="C38" s="2">
        <f>S30+3</f>
        <v>25</v>
      </c>
      <c r="D38" s="3" t="s">
        <v>6</v>
      </c>
      <c r="E38" s="3" t="s">
        <v>7</v>
      </c>
      <c r="F38" s="4" t="s">
        <v>8</v>
      </c>
      <c r="G38" s="5">
        <f>C38+1</f>
        <v>26</v>
      </c>
      <c r="H38" s="3" t="s">
        <v>6</v>
      </c>
      <c r="I38" s="3" t="s">
        <v>7</v>
      </c>
      <c r="J38" s="6" t="s">
        <v>8</v>
      </c>
      <c r="K38" s="5">
        <f>G38+1</f>
        <v>27</v>
      </c>
      <c r="L38" s="3" t="s">
        <v>6</v>
      </c>
      <c r="M38" s="3" t="s">
        <v>7</v>
      </c>
      <c r="N38" s="6" t="s">
        <v>8</v>
      </c>
      <c r="O38" s="5">
        <f>K38+1</f>
        <v>28</v>
      </c>
      <c r="P38" s="3" t="s">
        <v>6</v>
      </c>
      <c r="Q38" s="3" t="s">
        <v>7</v>
      </c>
      <c r="R38" s="6" t="s">
        <v>8</v>
      </c>
      <c r="S38" s="5">
        <v>29</v>
      </c>
      <c r="T38" s="3"/>
      <c r="U38" s="3"/>
      <c r="V38" s="16"/>
    </row>
    <row r="39" spans="2:22" ht="30.75" customHeight="1" thickTop="1" x14ac:dyDescent="0.3">
      <c r="B39" s="1085" t="s">
        <v>9</v>
      </c>
      <c r="C39" s="241"/>
      <c r="D39" s="213"/>
      <c r="E39" s="214"/>
      <c r="F39" s="242"/>
      <c r="G39" s="40">
        <v>0.375</v>
      </c>
      <c r="H39" s="37" t="s">
        <v>363</v>
      </c>
      <c r="I39" s="38"/>
      <c r="J39" s="41"/>
      <c r="K39" s="40">
        <v>0.375</v>
      </c>
      <c r="L39" s="37" t="s">
        <v>304</v>
      </c>
      <c r="M39" s="38"/>
      <c r="N39" s="41"/>
      <c r="O39" s="40">
        <v>0.41666666666666669</v>
      </c>
      <c r="P39" s="37" t="s">
        <v>15</v>
      </c>
      <c r="Q39" s="38"/>
      <c r="R39" s="41"/>
      <c r="S39" s="40"/>
      <c r="T39" s="37"/>
      <c r="U39" s="38"/>
      <c r="V39" s="43"/>
    </row>
    <row r="40" spans="2:22" ht="30.75" hidden="1" customHeight="1" x14ac:dyDescent="0.3">
      <c r="B40" s="1085"/>
      <c r="C40" s="243"/>
      <c r="D40" s="218"/>
      <c r="E40" s="219"/>
      <c r="F40" s="244"/>
      <c r="G40" s="48"/>
      <c r="H40" s="45"/>
      <c r="I40" s="46"/>
      <c r="J40" s="49"/>
      <c r="K40" s="50"/>
      <c r="L40" s="45"/>
      <c r="M40" s="46"/>
      <c r="N40" s="49"/>
      <c r="O40" s="50"/>
      <c r="P40" s="45"/>
      <c r="Q40" s="46"/>
      <c r="R40" s="49"/>
      <c r="S40" s="50"/>
      <c r="T40" s="45"/>
      <c r="U40" s="46"/>
      <c r="V40" s="52"/>
    </row>
    <row r="41" spans="2:22" ht="30.75" hidden="1" customHeight="1" x14ac:dyDescent="0.3">
      <c r="B41" s="1085"/>
      <c r="C41" s="245"/>
      <c r="D41" s="224"/>
      <c r="E41" s="225"/>
      <c r="F41" s="246"/>
      <c r="G41" s="57"/>
      <c r="H41" s="54"/>
      <c r="I41" s="55"/>
      <c r="J41" s="58"/>
      <c r="K41" s="57"/>
      <c r="L41" s="54"/>
      <c r="M41" s="55"/>
      <c r="N41" s="58"/>
      <c r="O41" s="57"/>
      <c r="P41" s="54"/>
      <c r="Q41" s="55"/>
      <c r="R41" s="58"/>
      <c r="S41" s="57"/>
      <c r="T41" s="54"/>
      <c r="U41" s="55"/>
      <c r="V41" s="60"/>
    </row>
    <row r="42" spans="2:22" ht="42" customHeight="1" x14ac:dyDescent="0.3">
      <c r="B42" s="1086"/>
      <c r="C42" s="1124"/>
      <c r="D42" s="1122"/>
      <c r="E42" s="1122"/>
      <c r="F42" s="1123"/>
      <c r="G42" s="1182" t="s">
        <v>393</v>
      </c>
      <c r="H42" s="1183"/>
      <c r="I42" s="1183"/>
      <c r="J42" s="1184"/>
      <c r="K42" s="1102"/>
      <c r="L42" s="1103"/>
      <c r="M42" s="1103"/>
      <c r="N42" s="1109"/>
      <c r="O42" s="1102"/>
      <c r="P42" s="1103"/>
      <c r="Q42" s="1103"/>
      <c r="R42" s="1109"/>
      <c r="S42" s="1102"/>
      <c r="T42" s="1103"/>
      <c r="U42" s="1103"/>
      <c r="V42" s="1103"/>
    </row>
    <row r="43" spans="2:22" ht="30.75" customHeight="1" x14ac:dyDescent="0.3">
      <c r="B43" s="1079" t="s">
        <v>12</v>
      </c>
      <c r="C43" s="199"/>
      <c r="D43" s="200"/>
      <c r="E43" s="201"/>
      <c r="F43" s="202"/>
      <c r="G43" s="65">
        <v>0.41666666666666669</v>
      </c>
      <c r="H43" s="63" t="s">
        <v>368</v>
      </c>
      <c r="I43" s="64"/>
      <c r="J43" s="66"/>
      <c r="K43" s="65"/>
      <c r="L43" s="63"/>
      <c r="M43" s="64"/>
      <c r="N43" s="66"/>
      <c r="O43" s="65"/>
      <c r="P43" s="63"/>
      <c r="Q43" s="64"/>
      <c r="R43" s="66"/>
      <c r="S43" s="65"/>
      <c r="T43" s="63"/>
      <c r="U43" s="64"/>
      <c r="V43" s="67"/>
    </row>
    <row r="44" spans="2:22" ht="30.75" customHeight="1" x14ac:dyDescent="0.3">
      <c r="B44" s="1080"/>
      <c r="C44" s="203"/>
      <c r="D44" s="204"/>
      <c r="E44" s="205"/>
      <c r="F44" s="206"/>
      <c r="G44" s="72"/>
      <c r="H44" s="70"/>
      <c r="I44" s="71"/>
      <c r="J44" s="73"/>
      <c r="K44" s="72" t="s">
        <v>240</v>
      </c>
      <c r="L44" s="70"/>
      <c r="M44" s="71"/>
      <c r="N44" s="73"/>
      <c r="O44" s="72"/>
      <c r="P44" s="70"/>
      <c r="Q44" s="71"/>
      <c r="R44" s="73"/>
      <c r="S44" s="72"/>
      <c r="T44" s="70"/>
      <c r="U44" s="71"/>
      <c r="V44" s="74"/>
    </row>
    <row r="45" spans="2:22" ht="30.75" customHeight="1" x14ac:dyDescent="0.3">
      <c r="B45" s="9" t="s">
        <v>13</v>
      </c>
      <c r="C45" s="247"/>
      <c r="D45" s="235"/>
      <c r="E45" s="236"/>
      <c r="F45" s="248"/>
      <c r="G45" s="13"/>
      <c r="H45" s="11"/>
      <c r="I45" s="12"/>
      <c r="J45" s="14"/>
      <c r="K45" s="13"/>
      <c r="L45" s="11"/>
      <c r="M45" s="12"/>
      <c r="N45" s="14"/>
      <c r="O45" s="13"/>
      <c r="P45" s="11"/>
      <c r="Q45" s="12"/>
      <c r="R45" s="14"/>
      <c r="S45" s="13"/>
      <c r="T45" s="11"/>
      <c r="U45" s="12"/>
      <c r="V45" s="17"/>
    </row>
    <row r="46" spans="2:22" ht="21" customHeight="1" x14ac:dyDescent="0.3">
      <c r="B46" s="207"/>
    </row>
  </sheetData>
  <mergeCells count="39">
    <mergeCell ref="S42:V42"/>
    <mergeCell ref="B43:B44"/>
    <mergeCell ref="B35:B36"/>
    <mergeCell ref="B39:B42"/>
    <mergeCell ref="C42:F42"/>
    <mergeCell ref="G42:J42"/>
    <mergeCell ref="K42:N42"/>
    <mergeCell ref="O42:R42"/>
    <mergeCell ref="S25:V25"/>
    <mergeCell ref="B26:B28"/>
    <mergeCell ref="B31:B34"/>
    <mergeCell ref="C34:F34"/>
    <mergeCell ref="K34:N34"/>
    <mergeCell ref="O34:R34"/>
    <mergeCell ref="S34:V34"/>
    <mergeCell ref="O25:R25"/>
    <mergeCell ref="B18:B19"/>
    <mergeCell ref="B22:B25"/>
    <mergeCell ref="C25:F25"/>
    <mergeCell ref="G25:J25"/>
    <mergeCell ref="K25:N25"/>
    <mergeCell ref="S9:V9"/>
    <mergeCell ref="B10:B11"/>
    <mergeCell ref="B14:B17"/>
    <mergeCell ref="C17:F17"/>
    <mergeCell ref="G17:J17"/>
    <mergeCell ref="K17:N17"/>
    <mergeCell ref="O17:R17"/>
    <mergeCell ref="S17:V17"/>
    <mergeCell ref="B6:B9"/>
    <mergeCell ref="C9:F9"/>
    <mergeCell ref="G9:J9"/>
    <mergeCell ref="K9:N9"/>
    <mergeCell ref="O9:R9"/>
    <mergeCell ref="C4:F4"/>
    <mergeCell ref="G4:J4"/>
    <mergeCell ref="K4:N4"/>
    <mergeCell ref="O4:R4"/>
    <mergeCell ref="S4:V4"/>
  </mergeCells>
  <phoneticPr fontId="2" type="noConversion"/>
  <conditionalFormatting sqref="A1:V29">
    <cfRule type="containsText" dxfId="89" priority="4" operator="containsText" text="더베스트">
      <formula>NOT(ISERROR(SEARCH("더베스트",A1)))</formula>
    </cfRule>
    <cfRule type="containsText" dxfId="88" priority="5" operator="containsText" text="트루">
      <formula>NOT(ISERROR(SEARCH("트루",A1)))</formula>
    </cfRule>
    <cfRule type="containsText" dxfId="87" priority="6" operator="containsText" text="현대홈">
      <formula>NOT(ISERROR(SEARCH("현대홈",A1)))</formula>
    </cfRule>
  </conditionalFormatting>
  <conditionalFormatting sqref="K30:V37">
    <cfRule type="containsText" dxfId="86" priority="1" operator="containsText" text="더베스트">
      <formula>NOT(ISERROR(SEARCH("더베스트",K30)))</formula>
    </cfRule>
    <cfRule type="containsText" dxfId="85" priority="2" operator="containsText" text="트루">
      <formula>NOT(ISERROR(SEARCH("트루",K30)))</formula>
    </cfRule>
    <cfRule type="containsText" dxfId="84" priority="3" operator="containsText" text="현대홈">
      <formula>NOT(ISERROR(SEARCH("현대홈",K30)))</formula>
    </cfRule>
  </conditionalFormatting>
  <conditionalFormatting sqref="W1:XFD45 A30:J33 A34:F34 A35:J37 A38:V45 A46:XFD1048576">
    <cfRule type="containsText" dxfId="83" priority="7" operator="containsText" text="더베스트">
      <formula>NOT(ISERROR(SEARCH("더베스트",A1)))</formula>
    </cfRule>
    <cfRule type="containsText" dxfId="82" priority="8" operator="containsText" text="트루">
      <formula>NOT(ISERROR(SEARCH("트루",A1)))</formula>
    </cfRule>
    <cfRule type="containsText" dxfId="81" priority="9" operator="containsText" text="현대홈">
      <formula>NOT(ISERROR(SEARCH("현대홈",A1)))</formula>
    </cfRule>
  </conditionalFormatting>
  <pageMargins left="0.39370078740157483" right="0.39370078740157483" top="0.39370078740157483" bottom="0.39370078740157483" header="0.31496062992125984" footer="0.31496062992125984"/>
  <pageSetup paperSize="9" scale="4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CED6-8DFC-44CD-AA2F-E023A04F1DB1}">
  <sheetPr>
    <pageSetUpPr fitToPage="1"/>
  </sheetPr>
  <dimension ref="B1:V46"/>
  <sheetViews>
    <sheetView showGridLines="0" topLeftCell="A9" zoomScale="70" zoomScaleNormal="70" workbookViewId="0">
      <selection activeCell="P29" sqref="P29"/>
    </sheetView>
  </sheetViews>
  <sheetFormatPr defaultRowHeight="30.75" customHeight="1" x14ac:dyDescent="0.3"/>
  <cols>
    <col min="1" max="1" width="4.125" style="1" customWidth="1"/>
    <col min="2" max="2" width="14" style="1" customWidth="1"/>
    <col min="3" max="3" width="8.375" style="1" customWidth="1"/>
    <col min="4" max="4" width="25.375" style="1" customWidth="1"/>
    <col min="5" max="6" width="9.125" style="1" customWidth="1"/>
    <col min="7" max="7" width="7.75" style="1" customWidth="1"/>
    <col min="8" max="8" width="25.375" style="1" customWidth="1"/>
    <col min="9" max="10" width="9.125" style="1" customWidth="1"/>
    <col min="11" max="11" width="7.75" style="1" customWidth="1"/>
    <col min="12" max="12" width="25.375" style="1" customWidth="1"/>
    <col min="13" max="14" width="9.125" style="1" customWidth="1"/>
    <col min="15" max="15" width="7.75" style="1" customWidth="1"/>
    <col min="16" max="16" width="25.375" style="1" customWidth="1"/>
    <col min="17" max="18" width="9.125" style="1" customWidth="1"/>
    <col min="19" max="19" width="7.75" style="1" customWidth="1"/>
    <col min="20" max="20" width="25.375" style="1" customWidth="1"/>
    <col min="21" max="22" width="9.125" style="1" customWidth="1"/>
    <col min="23" max="23" width="4.125" style="1" customWidth="1"/>
    <col min="24" max="16384" width="9" style="1"/>
  </cols>
  <sheetData>
    <row r="1" spans="2:22" ht="21" customHeight="1" x14ac:dyDescent="0.3">
      <c r="B1" s="207"/>
    </row>
    <row r="2" spans="2:22" ht="96" customHeight="1" thickBot="1" x14ac:dyDescent="0.35">
      <c r="B2" s="132" t="s">
        <v>91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</row>
    <row r="3" spans="2:22" ht="30.75" customHeight="1" thickTop="1" x14ac:dyDescent="0.3">
      <c r="B3" s="684" t="s">
        <v>398</v>
      </c>
      <c r="C3" s="684"/>
      <c r="D3" s="684"/>
      <c r="E3" s="684"/>
      <c r="F3" s="684"/>
      <c r="G3" s="684"/>
      <c r="H3" s="684"/>
      <c r="I3" s="684"/>
      <c r="J3" s="684"/>
      <c r="K3" s="684"/>
      <c r="L3" s="684"/>
      <c r="M3" s="684"/>
      <c r="N3" s="684"/>
      <c r="O3" s="684"/>
      <c r="P3" s="684"/>
      <c r="Q3" s="684"/>
      <c r="R3" s="684"/>
      <c r="S3" s="684"/>
      <c r="T3" s="684"/>
      <c r="U3" s="684"/>
      <c r="V3" s="684"/>
    </row>
    <row r="4" spans="2:22" ht="30.75" customHeight="1" thickBot="1" x14ac:dyDescent="0.35">
      <c r="B4" s="4" t="s">
        <v>0</v>
      </c>
      <c r="C4" s="1077" t="s">
        <v>1</v>
      </c>
      <c r="D4" s="1077"/>
      <c r="E4" s="1077"/>
      <c r="F4" s="1077"/>
      <c r="G4" s="1077" t="s">
        <v>2</v>
      </c>
      <c r="H4" s="1077"/>
      <c r="I4" s="1077"/>
      <c r="J4" s="1077"/>
      <c r="K4" s="1077" t="s">
        <v>3</v>
      </c>
      <c r="L4" s="1077"/>
      <c r="M4" s="1077"/>
      <c r="N4" s="1077"/>
      <c r="O4" s="1077" t="s">
        <v>4</v>
      </c>
      <c r="P4" s="1077"/>
      <c r="Q4" s="1077"/>
      <c r="R4" s="1077"/>
      <c r="S4" s="1077" t="s">
        <v>5</v>
      </c>
      <c r="T4" s="1077"/>
      <c r="U4" s="1077"/>
      <c r="V4" s="1078"/>
    </row>
    <row r="5" spans="2:22" ht="30.75" customHeight="1" thickTop="1" thickBot="1" x14ac:dyDescent="0.35">
      <c r="B5" s="34" t="s">
        <v>28</v>
      </c>
      <c r="C5" s="2"/>
      <c r="D5" s="3"/>
      <c r="E5" s="3"/>
      <c r="F5" s="4"/>
      <c r="G5" s="5"/>
      <c r="H5" s="3"/>
      <c r="I5" s="3"/>
      <c r="J5" s="6"/>
      <c r="K5" s="5"/>
      <c r="L5" s="3"/>
      <c r="M5" s="3"/>
      <c r="N5" s="6"/>
      <c r="O5" s="5"/>
      <c r="P5" s="3"/>
      <c r="Q5" s="3"/>
      <c r="R5" s="6"/>
      <c r="S5" s="5">
        <v>1</v>
      </c>
      <c r="T5" s="3" t="s">
        <v>6</v>
      </c>
      <c r="U5" s="3" t="s">
        <v>7</v>
      </c>
      <c r="V5" s="16" t="s">
        <v>8</v>
      </c>
    </row>
    <row r="6" spans="2:22" ht="30.75" customHeight="1" thickTop="1" x14ac:dyDescent="0.3">
      <c r="B6" s="1085" t="s">
        <v>9</v>
      </c>
      <c r="C6" s="241"/>
      <c r="D6" s="213"/>
      <c r="E6" s="214"/>
      <c r="F6" s="242"/>
      <c r="G6" s="212"/>
      <c r="H6" s="213"/>
      <c r="I6" s="214"/>
      <c r="J6" s="215"/>
      <c r="K6" s="212"/>
      <c r="L6" s="213"/>
      <c r="M6" s="214"/>
      <c r="N6" s="215"/>
      <c r="O6" s="212"/>
      <c r="P6" s="213"/>
      <c r="Q6" s="214"/>
      <c r="R6" s="215"/>
      <c r="S6" s="212"/>
      <c r="T6" s="213"/>
      <c r="U6" s="214"/>
      <c r="V6" s="216"/>
    </row>
    <row r="7" spans="2:22" ht="30.75" customHeight="1" x14ac:dyDescent="0.3">
      <c r="B7" s="1085"/>
      <c r="C7" s="243"/>
      <c r="D7" s="218"/>
      <c r="E7" s="219"/>
      <c r="F7" s="244"/>
      <c r="G7" s="221"/>
      <c r="H7" s="218"/>
      <c r="I7" s="219"/>
      <c r="J7" s="220"/>
      <c r="K7" s="217"/>
      <c r="L7" s="218"/>
      <c r="M7" s="219"/>
      <c r="N7" s="220"/>
      <c r="O7" s="217"/>
      <c r="P7" s="218"/>
      <c r="Q7" s="219"/>
      <c r="R7" s="220"/>
      <c r="S7" s="221"/>
      <c r="T7" s="218"/>
      <c r="U7" s="219"/>
      <c r="V7" s="222"/>
    </row>
    <row r="8" spans="2:22" ht="30.75" customHeight="1" x14ac:dyDescent="0.3">
      <c r="B8" s="1085"/>
      <c r="C8" s="245"/>
      <c r="D8" s="224"/>
      <c r="E8" s="225"/>
      <c r="F8" s="246"/>
      <c r="G8" s="223"/>
      <c r="H8" s="224"/>
      <c r="I8" s="225"/>
      <c r="J8" s="226"/>
      <c r="K8" s="223"/>
      <c r="L8" s="224"/>
      <c r="M8" s="225"/>
      <c r="N8" s="226"/>
      <c r="O8" s="223"/>
      <c r="P8" s="224"/>
      <c r="Q8" s="225"/>
      <c r="R8" s="226"/>
      <c r="S8" s="223"/>
      <c r="T8" s="224"/>
      <c r="U8" s="225"/>
      <c r="V8" s="227"/>
    </row>
    <row r="9" spans="2:22" ht="42" customHeight="1" x14ac:dyDescent="0.3">
      <c r="B9" s="1086"/>
      <c r="C9" s="1124"/>
      <c r="D9" s="1122"/>
      <c r="E9" s="1122"/>
      <c r="F9" s="1123"/>
      <c r="G9" s="1121"/>
      <c r="H9" s="1122"/>
      <c r="I9" s="1122"/>
      <c r="J9" s="1123"/>
      <c r="K9" s="1121"/>
      <c r="L9" s="1122"/>
      <c r="M9" s="1122"/>
      <c r="N9" s="1123"/>
      <c r="O9" s="1121"/>
      <c r="P9" s="1122"/>
      <c r="Q9" s="1122"/>
      <c r="R9" s="1123"/>
      <c r="S9" s="1121"/>
      <c r="T9" s="1122"/>
      <c r="U9" s="1122"/>
      <c r="V9" s="1122"/>
    </row>
    <row r="10" spans="2:22" ht="30.75" customHeight="1" x14ac:dyDescent="0.3">
      <c r="B10" s="1087" t="s">
        <v>12</v>
      </c>
      <c r="C10" s="199"/>
      <c r="D10" s="200"/>
      <c r="E10" s="201"/>
      <c r="F10" s="202"/>
      <c r="G10" s="228"/>
      <c r="H10" s="200"/>
      <c r="I10" s="201"/>
      <c r="J10" s="229"/>
      <c r="K10" s="228"/>
      <c r="L10" s="200"/>
      <c r="M10" s="201"/>
      <c r="N10" s="229"/>
      <c r="O10" s="228"/>
      <c r="P10" s="200"/>
      <c r="Q10" s="201"/>
      <c r="R10" s="229"/>
      <c r="S10" s="228"/>
      <c r="T10" s="200"/>
      <c r="U10" s="201"/>
      <c r="V10" s="230"/>
    </row>
    <row r="11" spans="2:22" ht="30.75" customHeight="1" x14ac:dyDescent="0.3">
      <c r="B11" s="1088"/>
      <c r="C11" s="203"/>
      <c r="D11" s="204"/>
      <c r="E11" s="205"/>
      <c r="F11" s="206"/>
      <c r="G11" s="231"/>
      <c r="H11" s="204"/>
      <c r="I11" s="205"/>
      <c r="J11" s="232"/>
      <c r="K11" s="231"/>
      <c r="L11" s="204"/>
      <c r="M11" s="205"/>
      <c r="N11" s="232"/>
      <c r="O11" s="231"/>
      <c r="P11" s="204"/>
      <c r="Q11" s="205"/>
      <c r="R11" s="232"/>
      <c r="S11" s="231"/>
      <c r="T11" s="204"/>
      <c r="U11" s="205"/>
      <c r="V11" s="233"/>
    </row>
    <row r="12" spans="2:22" ht="30.75" customHeight="1" x14ac:dyDescent="0.3">
      <c r="B12" s="18" t="s">
        <v>13</v>
      </c>
      <c r="C12" s="247"/>
      <c r="D12" s="235"/>
      <c r="E12" s="236"/>
      <c r="F12" s="248"/>
      <c r="G12" s="234"/>
      <c r="H12" s="235"/>
      <c r="I12" s="236"/>
      <c r="J12" s="237"/>
      <c r="K12" s="234"/>
      <c r="L12" s="235"/>
      <c r="M12" s="236"/>
      <c r="N12" s="237"/>
      <c r="O12" s="234"/>
      <c r="P12" s="235"/>
      <c r="Q12" s="236"/>
      <c r="R12" s="237"/>
      <c r="S12" s="238"/>
      <c r="T12" s="235"/>
      <c r="U12" s="236"/>
      <c r="V12" s="239"/>
    </row>
    <row r="13" spans="2:22" ht="30.75" customHeight="1" thickBot="1" x14ac:dyDescent="0.35">
      <c r="B13" s="35" t="s">
        <v>29</v>
      </c>
      <c r="C13" s="2">
        <f>S5+3</f>
        <v>4</v>
      </c>
      <c r="D13" s="3" t="s">
        <v>6</v>
      </c>
      <c r="E13" s="3" t="s">
        <v>7</v>
      </c>
      <c r="F13" s="4" t="s">
        <v>8</v>
      </c>
      <c r="G13" s="5">
        <f>C13+1</f>
        <v>5</v>
      </c>
      <c r="H13" s="3" t="s">
        <v>6</v>
      </c>
      <c r="I13" s="3" t="s">
        <v>7</v>
      </c>
      <c r="J13" s="6" t="s">
        <v>8</v>
      </c>
      <c r="K13" s="5">
        <f>G13+1</f>
        <v>6</v>
      </c>
      <c r="L13" s="3" t="s">
        <v>6</v>
      </c>
      <c r="M13" s="3" t="s">
        <v>7</v>
      </c>
      <c r="N13" s="6" t="s">
        <v>8</v>
      </c>
      <c r="O13" s="5">
        <f>K13+1</f>
        <v>7</v>
      </c>
      <c r="P13" s="3" t="s">
        <v>6</v>
      </c>
      <c r="Q13" s="3" t="s">
        <v>7</v>
      </c>
      <c r="R13" s="6" t="s">
        <v>8</v>
      </c>
      <c r="S13" s="5">
        <f>O13+1</f>
        <v>8</v>
      </c>
      <c r="T13" s="3" t="s">
        <v>6</v>
      </c>
      <c r="U13" s="3" t="s">
        <v>7</v>
      </c>
      <c r="V13" s="16" t="s">
        <v>8</v>
      </c>
    </row>
    <row r="14" spans="2:22" ht="30.75" customHeight="1" thickTop="1" x14ac:dyDescent="0.3">
      <c r="B14" s="1085" t="s">
        <v>9</v>
      </c>
      <c r="C14" s="36">
        <v>0.39583333333333331</v>
      </c>
      <c r="D14" s="37" t="s">
        <v>79</v>
      </c>
      <c r="E14" s="38"/>
      <c r="F14" s="39"/>
      <c r="G14" s="212"/>
      <c r="H14" s="213"/>
      <c r="I14" s="214"/>
      <c r="J14" s="215"/>
      <c r="K14" s="40">
        <v>0.39583333333333331</v>
      </c>
      <c r="L14" s="37" t="s">
        <v>135</v>
      </c>
      <c r="M14" s="38"/>
      <c r="N14" s="41"/>
      <c r="O14" s="24">
        <v>0.39583333333333331</v>
      </c>
      <c r="P14" s="20" t="s">
        <v>70</v>
      </c>
      <c r="Q14" s="21"/>
      <c r="R14" s="23"/>
      <c r="S14" s="40">
        <v>0.40277777777777779</v>
      </c>
      <c r="T14" s="37" t="s">
        <v>149</v>
      </c>
      <c r="U14" s="38"/>
      <c r="V14" s="43"/>
    </row>
    <row r="15" spans="2:22" ht="30.75" customHeight="1" x14ac:dyDescent="0.3">
      <c r="B15" s="1085"/>
      <c r="C15" s="240">
        <v>0.45833333333333331</v>
      </c>
      <c r="D15" s="45" t="s">
        <v>80</v>
      </c>
      <c r="E15" s="46"/>
      <c r="F15" s="47"/>
      <c r="G15" s="221"/>
      <c r="H15" s="218"/>
      <c r="I15" s="219"/>
      <c r="J15" s="220"/>
      <c r="K15" s="50">
        <v>0.46875</v>
      </c>
      <c r="L15" s="45" t="s">
        <v>170</v>
      </c>
      <c r="M15" s="46"/>
      <c r="N15" s="52"/>
      <c r="O15" s="50"/>
      <c r="P15" s="45"/>
      <c r="Q15" s="46"/>
      <c r="R15" s="49"/>
      <c r="S15" s="683">
        <v>0.5</v>
      </c>
      <c r="T15" s="260" t="s">
        <v>85</v>
      </c>
      <c r="U15" s="606"/>
      <c r="V15" s="689"/>
    </row>
    <row r="16" spans="2:22" ht="30.75" customHeight="1" x14ac:dyDescent="0.3">
      <c r="B16" s="1085"/>
      <c r="C16" s="53"/>
      <c r="D16" s="54"/>
      <c r="E16" s="55"/>
      <c r="F16" s="56"/>
      <c r="G16" s="223"/>
      <c r="H16" s="224"/>
      <c r="I16" s="225"/>
      <c r="J16" s="226"/>
      <c r="K16" s="690">
        <v>0.58333333333333337</v>
      </c>
      <c r="L16" s="691" t="s">
        <v>355</v>
      </c>
      <c r="M16" s="692"/>
      <c r="N16" s="693"/>
      <c r="O16" s="13"/>
      <c r="P16" s="694" t="s">
        <v>394</v>
      </c>
      <c r="Q16" s="695"/>
      <c r="R16" s="696"/>
      <c r="S16" s="57"/>
      <c r="T16" s="54"/>
      <c r="U16" s="55"/>
      <c r="V16" s="60"/>
    </row>
    <row r="17" spans="2:22" ht="42" customHeight="1" x14ac:dyDescent="0.3">
      <c r="B17" s="1086"/>
      <c r="C17" s="1108" t="s">
        <v>395</v>
      </c>
      <c r="D17" s="1103"/>
      <c r="E17" s="1103"/>
      <c r="F17" s="1109"/>
      <c r="G17" s="1121"/>
      <c r="H17" s="1122"/>
      <c r="I17" s="1122"/>
      <c r="J17" s="1123"/>
      <c r="K17" s="1102" t="s">
        <v>372</v>
      </c>
      <c r="L17" s="1103"/>
      <c r="M17" s="1103"/>
      <c r="N17" s="1109"/>
      <c r="O17" s="1170" t="s">
        <v>389</v>
      </c>
      <c r="P17" s="1171"/>
      <c r="Q17" s="1171"/>
      <c r="R17" s="1172"/>
      <c r="S17" s="1102"/>
      <c r="T17" s="1103"/>
      <c r="U17" s="1103"/>
      <c r="V17" s="1103"/>
    </row>
    <row r="18" spans="2:22" ht="30.75" customHeight="1" x14ac:dyDescent="0.3">
      <c r="B18" s="1079" t="s">
        <v>12</v>
      </c>
      <c r="C18" s="62">
        <v>0.39583333333333331</v>
      </c>
      <c r="D18" s="63" t="s">
        <v>369</v>
      </c>
      <c r="E18" s="64"/>
      <c r="F18" s="61"/>
      <c r="G18" s="228"/>
      <c r="H18" s="200"/>
      <c r="I18" s="201"/>
      <c r="J18" s="229"/>
      <c r="K18" s="65">
        <v>0.45833333333333331</v>
      </c>
      <c r="L18" s="63" t="s">
        <v>268</v>
      </c>
      <c r="M18" s="64"/>
      <c r="N18" s="66"/>
      <c r="O18" s="65">
        <v>0.40277777777777779</v>
      </c>
      <c r="P18" s="63" t="s">
        <v>171</v>
      </c>
      <c r="Q18" s="64"/>
      <c r="R18" s="66"/>
      <c r="S18" s="65">
        <v>0.39583333333333331</v>
      </c>
      <c r="T18" s="63" t="s">
        <v>322</v>
      </c>
      <c r="U18" s="64"/>
      <c r="V18" s="67"/>
    </row>
    <row r="19" spans="2:22" ht="30.75" customHeight="1" x14ac:dyDescent="0.3">
      <c r="B19" s="1080"/>
      <c r="C19" s="69"/>
      <c r="D19" s="70"/>
      <c r="E19" s="71"/>
      <c r="F19" s="68"/>
      <c r="G19" s="231"/>
      <c r="H19" s="204"/>
      <c r="I19" s="205"/>
      <c r="J19" s="232"/>
      <c r="K19" s="72">
        <v>0.375</v>
      </c>
      <c r="L19" s="70" t="s">
        <v>384</v>
      </c>
      <c r="M19" s="71"/>
      <c r="N19" s="73"/>
      <c r="O19" s="72">
        <v>0.54166666666666663</v>
      </c>
      <c r="P19" s="70" t="s">
        <v>95</v>
      </c>
      <c r="Q19" s="71"/>
      <c r="R19" s="73"/>
      <c r="S19" s="72">
        <v>0.45833333333333331</v>
      </c>
      <c r="T19" s="70" t="s">
        <v>379</v>
      </c>
      <c r="U19" s="71"/>
      <c r="V19" s="74"/>
    </row>
    <row r="20" spans="2:22" ht="30.75" customHeight="1" thickBot="1" x14ac:dyDescent="0.35">
      <c r="B20" s="9" t="s">
        <v>13</v>
      </c>
      <c r="C20" s="10"/>
      <c r="D20" s="11"/>
      <c r="E20" s="12"/>
      <c r="F20" s="9"/>
      <c r="G20" s="714"/>
      <c r="H20" s="460"/>
      <c r="I20" s="461"/>
      <c r="J20" s="715"/>
      <c r="K20" s="22"/>
      <c r="L20" s="20"/>
      <c r="M20" s="21"/>
      <c r="N20" s="23"/>
      <c r="O20" s="22"/>
      <c r="P20" s="20"/>
      <c r="Q20" s="21"/>
      <c r="R20" s="23"/>
      <c r="S20" s="15"/>
      <c r="T20" s="11"/>
      <c r="U20" s="12"/>
      <c r="V20" s="17"/>
    </row>
    <row r="21" spans="2:22" ht="30.75" customHeight="1" thickTop="1" thickBot="1" x14ac:dyDescent="0.35">
      <c r="B21" s="35" t="s">
        <v>30</v>
      </c>
      <c r="C21" s="2">
        <f>S13+3</f>
        <v>11</v>
      </c>
      <c r="D21" s="3" t="s">
        <v>6</v>
      </c>
      <c r="E21" s="3" t="s">
        <v>7</v>
      </c>
      <c r="F21" s="712" t="s">
        <v>8</v>
      </c>
      <c r="G21" s="285">
        <f>C21+1</f>
        <v>12</v>
      </c>
      <c r="H21" s="286" t="s">
        <v>6</v>
      </c>
      <c r="I21" s="286" t="s">
        <v>7</v>
      </c>
      <c r="J21" s="287" t="s">
        <v>8</v>
      </c>
      <c r="K21" s="285">
        <f>G21+1</f>
        <v>13</v>
      </c>
      <c r="L21" s="286" t="s">
        <v>6</v>
      </c>
      <c r="M21" s="286" t="s">
        <v>7</v>
      </c>
      <c r="N21" s="287" t="s">
        <v>8</v>
      </c>
      <c r="O21" s="285">
        <f>K21+1</f>
        <v>14</v>
      </c>
      <c r="P21" s="286" t="s">
        <v>6</v>
      </c>
      <c r="Q21" s="286" t="s">
        <v>7</v>
      </c>
      <c r="R21" s="287" t="s">
        <v>8</v>
      </c>
      <c r="S21" s="300">
        <f>O21+1</f>
        <v>15</v>
      </c>
      <c r="T21" s="3" t="s">
        <v>6</v>
      </c>
      <c r="U21" s="3" t="s">
        <v>7</v>
      </c>
      <c r="V21" s="16" t="s">
        <v>8</v>
      </c>
    </row>
    <row r="22" spans="2:22" ht="30.75" customHeight="1" thickTop="1" x14ac:dyDescent="0.3">
      <c r="B22" s="1085" t="s">
        <v>9</v>
      </c>
      <c r="C22" s="36">
        <v>0.375</v>
      </c>
      <c r="D22" s="37" t="s">
        <v>284</v>
      </c>
      <c r="E22" s="38"/>
      <c r="F22" s="449"/>
      <c r="G22" s="288">
        <v>0.375</v>
      </c>
      <c r="H22" s="37" t="s">
        <v>366</v>
      </c>
      <c r="I22" s="38"/>
      <c r="J22" s="289"/>
      <c r="K22" s="288">
        <v>0.375</v>
      </c>
      <c r="L22" s="37" t="s">
        <v>47</v>
      </c>
      <c r="M22" s="697" t="s">
        <v>374</v>
      </c>
      <c r="N22" s="289"/>
      <c r="O22" s="288">
        <v>0.41666666666666669</v>
      </c>
      <c r="P22" s="37" t="s">
        <v>364</v>
      </c>
      <c r="Q22" s="38"/>
      <c r="R22" s="289"/>
      <c r="S22" s="347">
        <v>0.41666666666666669</v>
      </c>
      <c r="T22" s="37" t="s">
        <v>365</v>
      </c>
      <c r="U22" s="38"/>
      <c r="V22" s="43"/>
    </row>
    <row r="23" spans="2:22" ht="30.75" customHeight="1" x14ac:dyDescent="0.3">
      <c r="B23" s="1085"/>
      <c r="C23" s="240">
        <v>0.47916666666666669</v>
      </c>
      <c r="D23" s="45" t="s">
        <v>51</v>
      </c>
      <c r="E23" s="46"/>
      <c r="F23" s="450"/>
      <c r="G23" s="375">
        <v>0.4375</v>
      </c>
      <c r="H23" s="45" t="s">
        <v>164</v>
      </c>
      <c r="I23" s="46"/>
      <c r="J23" s="376"/>
      <c r="K23" s="375">
        <v>0.40277777777777779</v>
      </c>
      <c r="L23" s="45" t="s">
        <v>22</v>
      </c>
      <c r="M23" s="698" t="s">
        <v>375</v>
      </c>
      <c r="N23" s="376"/>
      <c r="O23" s="375">
        <v>0.47222222222222221</v>
      </c>
      <c r="P23" s="45" t="s">
        <v>37</v>
      </c>
      <c r="Q23" s="46"/>
      <c r="R23" s="376"/>
      <c r="S23" s="301">
        <v>0.58333333333333337</v>
      </c>
      <c r="T23" s="45" t="s">
        <v>397</v>
      </c>
      <c r="U23" s="46"/>
    </row>
    <row r="24" spans="2:22" ht="30.75" customHeight="1" x14ac:dyDescent="0.3">
      <c r="B24" s="1085"/>
      <c r="C24" s="53"/>
      <c r="D24" s="54"/>
      <c r="E24" s="55"/>
      <c r="F24" s="713"/>
      <c r="G24" s="677">
        <v>0.46527777777777779</v>
      </c>
      <c r="H24" s="54" t="s">
        <v>378</v>
      </c>
      <c r="I24" s="55"/>
      <c r="J24" s="383"/>
      <c r="K24" s="677">
        <v>0.4375</v>
      </c>
      <c r="L24" s="54" t="s">
        <v>213</v>
      </c>
      <c r="M24" s="699" t="s">
        <v>376</v>
      </c>
      <c r="N24" s="383"/>
      <c r="O24" s="382"/>
      <c r="P24" s="54"/>
      <c r="Q24" s="55"/>
      <c r="R24" s="383"/>
      <c r="S24" s="324"/>
      <c r="T24" s="54"/>
      <c r="U24" s="52"/>
      <c r="V24" s="60"/>
    </row>
    <row r="25" spans="2:22" ht="42" customHeight="1" x14ac:dyDescent="0.3">
      <c r="B25" s="1086"/>
      <c r="C25" s="1194" t="s">
        <v>390</v>
      </c>
      <c r="D25" s="1192"/>
      <c r="E25" s="1192"/>
      <c r="F25" s="1192"/>
      <c r="G25" s="1127" t="s">
        <v>385</v>
      </c>
      <c r="H25" s="1103"/>
      <c r="I25" s="1103"/>
      <c r="J25" s="1113"/>
      <c r="K25" s="1195" t="s">
        <v>367</v>
      </c>
      <c r="L25" s="1189"/>
      <c r="M25" s="1189"/>
      <c r="N25" s="1196"/>
      <c r="O25" s="1191" t="s">
        <v>388</v>
      </c>
      <c r="P25" s="1192"/>
      <c r="Q25" s="1192"/>
      <c r="R25" s="1193"/>
      <c r="S25" s="1103"/>
      <c r="T25" s="1103"/>
      <c r="U25" s="1103"/>
      <c r="V25" s="1103"/>
    </row>
    <row r="26" spans="2:22" ht="30.75" customHeight="1" x14ac:dyDescent="0.3">
      <c r="B26" s="1079" t="s">
        <v>12</v>
      </c>
      <c r="C26" s="76">
        <v>0.40277777777777779</v>
      </c>
      <c r="D26" s="77" t="s">
        <v>216</v>
      </c>
      <c r="E26" s="78"/>
      <c r="F26" s="681"/>
      <c r="G26" s="670">
        <v>0.375</v>
      </c>
      <c r="H26" s="77" t="s">
        <v>362</v>
      </c>
      <c r="I26" s="78"/>
      <c r="J26" s="671"/>
      <c r="K26" s="670">
        <v>0.375</v>
      </c>
      <c r="L26" s="77" t="s">
        <v>283</v>
      </c>
      <c r="M26" s="700" t="s">
        <v>377</v>
      </c>
      <c r="N26" s="671"/>
      <c r="O26" s="670">
        <v>0.40277777777777779</v>
      </c>
      <c r="P26" s="77" t="s">
        <v>153</v>
      </c>
      <c r="Q26" s="78"/>
      <c r="R26" s="671"/>
      <c r="S26" s="701">
        <v>0.41666666666666669</v>
      </c>
      <c r="T26" s="77" t="s">
        <v>184</v>
      </c>
      <c r="U26" s="78"/>
      <c r="V26" s="81"/>
    </row>
    <row r="27" spans="2:22" ht="30.75" customHeight="1" thickBot="1" x14ac:dyDescent="0.35">
      <c r="B27" s="1137"/>
      <c r="C27" s="702">
        <v>0.45833333333333331</v>
      </c>
      <c r="D27" s="703" t="s">
        <v>399</v>
      </c>
      <c r="E27" s="704"/>
      <c r="F27" s="705"/>
      <c r="G27" s="708">
        <v>0.42708333333333331</v>
      </c>
      <c r="H27" s="703" t="s">
        <v>241</v>
      </c>
      <c r="I27" s="704"/>
      <c r="J27" s="710"/>
      <c r="K27" s="708">
        <v>0.4375</v>
      </c>
      <c r="L27" s="703" t="s">
        <v>400</v>
      </c>
      <c r="M27" s="709" t="s">
        <v>401</v>
      </c>
      <c r="N27" s="710"/>
      <c r="O27" s="708"/>
      <c r="P27" s="703"/>
      <c r="Q27" s="704"/>
      <c r="R27" s="710"/>
      <c r="S27" s="706"/>
      <c r="T27" s="703"/>
      <c r="U27" s="704"/>
      <c r="V27" s="707"/>
    </row>
    <row r="28" spans="2:22" ht="30.75" customHeight="1" thickTop="1" thickBot="1" x14ac:dyDescent="0.35">
      <c r="B28" s="1080"/>
      <c r="C28" s="69"/>
      <c r="D28" s="70"/>
      <c r="E28" s="71"/>
      <c r="F28" s="441"/>
      <c r="G28" s="716">
        <v>0.40277777777777779</v>
      </c>
      <c r="H28" s="668" t="s">
        <v>321</v>
      </c>
      <c r="I28" s="682" t="s">
        <v>373</v>
      </c>
      <c r="J28" s="711"/>
      <c r="K28" s="679"/>
      <c r="L28" s="678"/>
      <c r="M28" s="71"/>
      <c r="N28" s="680"/>
      <c r="O28" s="292"/>
      <c r="P28" s="70"/>
      <c r="Q28" s="71"/>
      <c r="R28" s="293"/>
      <c r="S28" s="303"/>
      <c r="T28" s="70"/>
      <c r="U28" s="71"/>
      <c r="V28" s="74"/>
    </row>
    <row r="29" spans="2:22" ht="30.75" customHeight="1" thickTop="1" thickBot="1" x14ac:dyDescent="0.35">
      <c r="B29" s="9" t="s">
        <v>13</v>
      </c>
      <c r="C29" s="10"/>
      <c r="D29" s="11"/>
      <c r="E29" s="12"/>
      <c r="F29" s="299"/>
      <c r="G29" s="672"/>
      <c r="H29" s="295"/>
      <c r="I29" s="296"/>
      <c r="J29" s="297"/>
      <c r="K29" s="672"/>
      <c r="L29" s="295"/>
      <c r="M29" s="296"/>
      <c r="N29" s="297"/>
      <c r="O29" s="672"/>
      <c r="P29" s="295"/>
      <c r="Q29" s="296"/>
      <c r="R29" s="297"/>
      <c r="S29" s="457"/>
      <c r="T29" s="11"/>
      <c r="U29" s="12"/>
      <c r="V29" s="17"/>
    </row>
    <row r="30" spans="2:22" ht="30.75" customHeight="1" thickTop="1" thickBot="1" x14ac:dyDescent="0.35">
      <c r="B30" s="35" t="s">
        <v>31</v>
      </c>
      <c r="C30" s="2">
        <f>S21+3</f>
        <v>18</v>
      </c>
      <c r="D30" s="3" t="s">
        <v>6</v>
      </c>
      <c r="E30" s="3" t="s">
        <v>7</v>
      </c>
      <c r="F30" s="4" t="s">
        <v>8</v>
      </c>
      <c r="G30" s="282">
        <f>C30+1</f>
        <v>19</v>
      </c>
      <c r="H30" s="283" t="s">
        <v>6</v>
      </c>
      <c r="I30" s="283" t="s">
        <v>7</v>
      </c>
      <c r="J30" s="484" t="s">
        <v>8</v>
      </c>
      <c r="K30" s="282">
        <f>G30+1</f>
        <v>20</v>
      </c>
      <c r="L30" s="283" t="s">
        <v>6</v>
      </c>
      <c r="M30" s="283" t="s">
        <v>7</v>
      </c>
      <c r="N30" s="484" t="s">
        <v>8</v>
      </c>
      <c r="O30" s="282">
        <f>K30+1</f>
        <v>21</v>
      </c>
      <c r="P30" s="283" t="s">
        <v>6</v>
      </c>
      <c r="Q30" s="283" t="s">
        <v>7</v>
      </c>
      <c r="R30" s="484" t="s">
        <v>8</v>
      </c>
      <c r="S30" s="5">
        <f>O30+1</f>
        <v>22</v>
      </c>
      <c r="T30" s="3" t="s">
        <v>6</v>
      </c>
      <c r="U30" s="3" t="s">
        <v>7</v>
      </c>
      <c r="V30" s="16" t="s">
        <v>8</v>
      </c>
    </row>
    <row r="31" spans="2:22" ht="30.75" customHeight="1" thickTop="1" x14ac:dyDescent="0.3">
      <c r="B31" s="1085" t="s">
        <v>9</v>
      </c>
      <c r="C31" s="669">
        <v>0.39583333333333331</v>
      </c>
      <c r="D31" s="20" t="s">
        <v>311</v>
      </c>
      <c r="E31" s="21"/>
      <c r="F31" s="18"/>
      <c r="G31" s="40">
        <v>0.40277777777777779</v>
      </c>
      <c r="H31" s="37" t="s">
        <v>265</v>
      </c>
      <c r="I31" s="38"/>
      <c r="J31" s="41"/>
      <c r="K31" s="40">
        <v>0.39583333333333331</v>
      </c>
      <c r="L31" s="37" t="s">
        <v>319</v>
      </c>
      <c r="M31" s="38"/>
      <c r="N31" s="41"/>
      <c r="O31" s="40">
        <v>0.39583333333333331</v>
      </c>
      <c r="P31" s="37" t="s">
        <v>370</v>
      </c>
      <c r="Q31" s="38"/>
      <c r="R31" s="41"/>
      <c r="S31" s="40">
        <v>0.375</v>
      </c>
      <c r="T31" s="37" t="s">
        <v>205</v>
      </c>
      <c r="U31" s="38"/>
      <c r="V31" s="43"/>
    </row>
    <row r="32" spans="2:22" ht="30.75" customHeight="1" x14ac:dyDescent="0.3">
      <c r="B32" s="1110"/>
      <c r="C32" s="685">
        <v>0.46875</v>
      </c>
      <c r="D32" s="686" t="s">
        <v>44</v>
      </c>
      <c r="E32" s="687"/>
      <c r="F32" s="688"/>
      <c r="G32" s="673"/>
      <c r="H32" s="674"/>
      <c r="I32" s="675"/>
      <c r="J32" s="676"/>
      <c r="K32" s="50"/>
      <c r="L32" s="45"/>
      <c r="M32" s="46"/>
      <c r="N32" s="49"/>
      <c r="O32" s="50"/>
      <c r="P32" s="45"/>
      <c r="Q32" s="46"/>
      <c r="R32" s="49"/>
      <c r="S32" s="48"/>
      <c r="T32" s="45"/>
      <c r="U32" s="46"/>
      <c r="V32" s="52"/>
    </row>
    <row r="33" spans="2:22" ht="30.75" customHeight="1" x14ac:dyDescent="0.3">
      <c r="B33" s="1085"/>
      <c r="C33" s="10"/>
      <c r="D33" s="11"/>
      <c r="E33" s="12"/>
      <c r="F33" s="9"/>
      <c r="G33" s="57"/>
      <c r="H33" s="54"/>
      <c r="I33" s="55"/>
      <c r="J33" s="58"/>
      <c r="K33" s="57"/>
      <c r="L33" s="54"/>
      <c r="M33" s="55"/>
      <c r="N33" s="58"/>
      <c r="O33" s="57"/>
      <c r="P33" s="54"/>
      <c r="Q33" s="55"/>
      <c r="R33" s="58"/>
      <c r="S33" s="57"/>
      <c r="T33" s="54"/>
      <c r="U33" s="55"/>
      <c r="V33" s="60"/>
    </row>
    <row r="34" spans="2:22" ht="42" customHeight="1" x14ac:dyDescent="0.3">
      <c r="B34" s="1086"/>
      <c r="C34" s="1108" t="s">
        <v>396</v>
      </c>
      <c r="D34" s="1103"/>
      <c r="E34" s="1103"/>
      <c r="F34" s="1109"/>
      <c r="K34" s="1182" t="s">
        <v>392</v>
      </c>
      <c r="L34" s="1183"/>
      <c r="M34" s="1183"/>
      <c r="N34" s="1184"/>
      <c r="O34" s="1102"/>
      <c r="P34" s="1103"/>
      <c r="Q34" s="1103"/>
      <c r="R34" s="1109"/>
      <c r="S34" s="1102"/>
      <c r="T34" s="1103"/>
      <c r="U34" s="1103"/>
      <c r="V34" s="1103"/>
    </row>
    <row r="35" spans="2:22" ht="30.75" customHeight="1" x14ac:dyDescent="0.3">
      <c r="B35" s="1079" t="s">
        <v>12</v>
      </c>
      <c r="C35" s="62">
        <v>0.40277777777777779</v>
      </c>
      <c r="D35" s="63" t="s">
        <v>152</v>
      </c>
      <c r="E35" s="64"/>
      <c r="F35" s="61"/>
      <c r="G35" s="65">
        <v>0.39583333333333331</v>
      </c>
      <c r="H35" s="63" t="s">
        <v>303</v>
      </c>
      <c r="I35" s="666"/>
      <c r="J35" s="667"/>
      <c r="K35" s="65">
        <v>0.39583333333333331</v>
      </c>
      <c r="L35" s="63" t="s">
        <v>361</v>
      </c>
      <c r="M35" s="64"/>
      <c r="N35" s="66"/>
      <c r="O35" s="65">
        <v>0.38541666666666669</v>
      </c>
      <c r="P35" s="63" t="s">
        <v>94</v>
      </c>
      <c r="Q35" s="64"/>
      <c r="R35" s="66"/>
      <c r="S35" s="65">
        <v>0.39583333333333331</v>
      </c>
      <c r="T35" s="63" t="s">
        <v>200</v>
      </c>
      <c r="U35" s="64"/>
      <c r="V35" s="67"/>
    </row>
    <row r="36" spans="2:22" ht="30.75" customHeight="1" x14ac:dyDescent="0.3">
      <c r="B36" s="1080"/>
      <c r="C36" s="69">
        <v>0.45833333333333331</v>
      </c>
      <c r="D36" s="70" t="s">
        <v>386</v>
      </c>
      <c r="E36" s="71"/>
      <c r="F36" s="68"/>
      <c r="G36" s="72"/>
      <c r="H36" s="70"/>
      <c r="I36" s="71"/>
      <c r="J36" s="73"/>
      <c r="K36" s="72">
        <v>0.45833333333333331</v>
      </c>
      <c r="L36" s="70" t="s">
        <v>382</v>
      </c>
      <c r="M36" s="71"/>
      <c r="N36" s="73"/>
      <c r="O36" s="72">
        <v>0.4236111111111111</v>
      </c>
      <c r="P36" s="70" t="s">
        <v>41</v>
      </c>
      <c r="Q36" s="71"/>
      <c r="R36" s="73"/>
      <c r="S36" s="72"/>
      <c r="T36" s="70"/>
      <c r="U36" s="71"/>
      <c r="V36" s="74"/>
    </row>
    <row r="37" spans="2:22" ht="30.75" customHeight="1" x14ac:dyDescent="0.3">
      <c r="B37" s="9" t="s">
        <v>13</v>
      </c>
      <c r="C37" s="10"/>
      <c r="D37" s="11"/>
      <c r="E37" s="12"/>
      <c r="F37" s="9"/>
      <c r="G37" s="13"/>
      <c r="H37" s="11"/>
      <c r="I37" s="12"/>
      <c r="J37" s="14"/>
      <c r="K37" s="13"/>
      <c r="L37" s="11"/>
      <c r="M37" s="12"/>
      <c r="N37" s="14"/>
      <c r="O37" s="13"/>
      <c r="P37" s="11"/>
      <c r="Q37" s="12"/>
      <c r="R37" s="14"/>
      <c r="S37" s="15"/>
      <c r="T37" s="11"/>
      <c r="U37" s="12"/>
      <c r="V37" s="17"/>
    </row>
    <row r="38" spans="2:22" ht="30.75" customHeight="1" thickBot="1" x14ac:dyDescent="0.35">
      <c r="B38" s="35" t="s">
        <v>32</v>
      </c>
      <c r="C38" s="2">
        <f>S30+3</f>
        <v>25</v>
      </c>
      <c r="D38" s="3" t="s">
        <v>6</v>
      </c>
      <c r="E38" s="3" t="s">
        <v>7</v>
      </c>
      <c r="F38" s="4" t="s">
        <v>8</v>
      </c>
      <c r="G38" s="5">
        <f>C38+1</f>
        <v>26</v>
      </c>
      <c r="H38" s="3" t="s">
        <v>6</v>
      </c>
      <c r="I38" s="3" t="s">
        <v>7</v>
      </c>
      <c r="J38" s="6" t="s">
        <v>8</v>
      </c>
      <c r="K38" s="5">
        <f>G38+1</f>
        <v>27</v>
      </c>
      <c r="L38" s="3" t="s">
        <v>6</v>
      </c>
      <c r="M38" s="3" t="s">
        <v>7</v>
      </c>
      <c r="N38" s="6" t="s">
        <v>8</v>
      </c>
      <c r="O38" s="5">
        <f>K38+1</f>
        <v>28</v>
      </c>
      <c r="P38" s="3" t="s">
        <v>6</v>
      </c>
      <c r="Q38" s="3" t="s">
        <v>7</v>
      </c>
      <c r="R38" s="6" t="s">
        <v>8</v>
      </c>
      <c r="S38" s="208"/>
      <c r="T38" s="209"/>
      <c r="U38" s="209"/>
      <c r="V38" s="211"/>
    </row>
    <row r="39" spans="2:22" ht="30.75" customHeight="1" thickTop="1" x14ac:dyDescent="0.3">
      <c r="B39" s="1085" t="s">
        <v>9</v>
      </c>
      <c r="C39" s="241"/>
      <c r="D39" s="213"/>
      <c r="E39" s="214"/>
      <c r="F39" s="242"/>
      <c r="G39" s="40">
        <v>0.41666666666666669</v>
      </c>
      <c r="H39" s="37" t="s">
        <v>368</v>
      </c>
      <c r="I39" s="38"/>
      <c r="J39" s="41"/>
      <c r="K39" s="40" t="s">
        <v>272</v>
      </c>
      <c r="L39" s="37"/>
      <c r="M39" s="38"/>
      <c r="N39" s="41"/>
      <c r="O39" s="40">
        <v>0.41666666666666669</v>
      </c>
      <c r="P39" s="37" t="s">
        <v>15</v>
      </c>
      <c r="Q39" s="38"/>
      <c r="R39" s="41"/>
      <c r="S39" s="212"/>
      <c r="T39" s="213"/>
      <c r="U39" s="214"/>
      <c r="V39" s="216"/>
    </row>
    <row r="40" spans="2:22" ht="30.75" customHeight="1" x14ac:dyDescent="0.3">
      <c r="B40" s="1085"/>
      <c r="C40" s="243"/>
      <c r="D40" s="218"/>
      <c r="E40" s="219"/>
      <c r="F40" s="244"/>
      <c r="G40" s="48"/>
      <c r="H40" s="45"/>
      <c r="I40" s="46"/>
      <c r="J40" s="49"/>
      <c r="K40" s="50"/>
      <c r="L40" s="45"/>
      <c r="M40" s="46"/>
      <c r="N40" s="49"/>
      <c r="O40" s="50"/>
      <c r="P40" s="45"/>
      <c r="Q40" s="46"/>
      <c r="R40" s="49"/>
      <c r="S40" s="221"/>
      <c r="T40" s="218"/>
      <c r="U40" s="219"/>
      <c r="V40" s="222"/>
    </row>
    <row r="41" spans="2:22" ht="30.75" customHeight="1" x14ac:dyDescent="0.3">
      <c r="B41" s="1085"/>
      <c r="C41" s="245"/>
      <c r="D41" s="224"/>
      <c r="E41" s="225"/>
      <c r="F41" s="246"/>
      <c r="G41" s="57"/>
      <c r="H41" s="54"/>
      <c r="I41" s="55"/>
      <c r="J41" s="58"/>
      <c r="K41" s="57"/>
      <c r="L41" s="54"/>
      <c r="M41" s="55"/>
      <c r="N41" s="58"/>
      <c r="O41" s="57"/>
      <c r="P41" s="54"/>
      <c r="Q41" s="55"/>
      <c r="R41" s="58"/>
      <c r="S41" s="223"/>
      <c r="T41" s="224"/>
      <c r="U41" s="225"/>
      <c r="V41" s="227"/>
    </row>
    <row r="42" spans="2:22" ht="42" customHeight="1" x14ac:dyDescent="0.3">
      <c r="B42" s="1086"/>
      <c r="C42" s="1124"/>
      <c r="D42" s="1122"/>
      <c r="E42" s="1122"/>
      <c r="F42" s="1123"/>
      <c r="G42" s="1182" t="s">
        <v>393</v>
      </c>
      <c r="H42" s="1183"/>
      <c r="I42" s="1183"/>
      <c r="J42" s="1184"/>
      <c r="K42" s="1102"/>
      <c r="L42" s="1103"/>
      <c r="M42" s="1103"/>
      <c r="N42" s="1109"/>
      <c r="O42" s="1102"/>
      <c r="P42" s="1103"/>
      <c r="Q42" s="1103"/>
      <c r="R42" s="1109"/>
      <c r="S42" s="1121"/>
      <c r="T42" s="1122"/>
      <c r="U42" s="1122"/>
      <c r="V42" s="1122"/>
    </row>
    <row r="43" spans="2:22" ht="30.75" customHeight="1" x14ac:dyDescent="0.3">
      <c r="B43" s="1079" t="s">
        <v>12</v>
      </c>
      <c r="C43" s="199"/>
      <c r="D43" s="200"/>
      <c r="E43" s="201"/>
      <c r="F43" s="202"/>
      <c r="G43" s="65">
        <v>0.375</v>
      </c>
      <c r="H43" s="63" t="s">
        <v>363</v>
      </c>
      <c r="I43" s="64"/>
      <c r="J43" s="66"/>
      <c r="K43" s="65"/>
      <c r="L43" s="63"/>
      <c r="M43" s="64"/>
      <c r="N43" s="66"/>
      <c r="O43" s="65">
        <v>0.41666666666666669</v>
      </c>
      <c r="P43" s="63" t="s">
        <v>204</v>
      </c>
      <c r="Q43" s="64"/>
      <c r="R43" s="66"/>
      <c r="S43" s="228"/>
      <c r="T43" s="200"/>
      <c r="U43" s="201"/>
      <c r="V43" s="230"/>
    </row>
    <row r="44" spans="2:22" ht="30.75" customHeight="1" x14ac:dyDescent="0.3">
      <c r="B44" s="1080"/>
      <c r="C44" s="203"/>
      <c r="D44" s="204"/>
      <c r="E44" s="205"/>
      <c r="F44" s="206"/>
      <c r="G44" s="72"/>
      <c r="H44" s="70"/>
      <c r="I44" s="71"/>
      <c r="J44" s="73"/>
      <c r="K44" s="72" t="s">
        <v>240</v>
      </c>
      <c r="L44" s="70"/>
      <c r="M44" s="71"/>
      <c r="N44" s="73"/>
      <c r="O44" s="72"/>
      <c r="P44" s="70"/>
      <c r="Q44" s="71"/>
      <c r="R44" s="73"/>
      <c r="S44" s="231"/>
      <c r="T44" s="204"/>
      <c r="U44" s="205"/>
      <c r="V44" s="233"/>
    </row>
    <row r="45" spans="2:22" ht="30.75" customHeight="1" x14ac:dyDescent="0.3">
      <c r="B45" s="9" t="s">
        <v>13</v>
      </c>
      <c r="C45" s="247"/>
      <c r="D45" s="235"/>
      <c r="E45" s="236"/>
      <c r="F45" s="248"/>
      <c r="G45" s="13"/>
      <c r="H45" s="11"/>
      <c r="I45" s="12"/>
      <c r="J45" s="14"/>
      <c r="K45" s="13"/>
      <c r="L45" s="11"/>
      <c r="M45" s="12"/>
      <c r="N45" s="14"/>
      <c r="O45" s="13"/>
      <c r="P45" s="11"/>
      <c r="Q45" s="12"/>
      <c r="R45" s="14"/>
      <c r="S45" s="238"/>
      <c r="T45" s="235"/>
      <c r="U45" s="236"/>
      <c r="V45" s="239"/>
    </row>
    <row r="46" spans="2:22" ht="21" customHeight="1" x14ac:dyDescent="0.3">
      <c r="B46" s="207"/>
    </row>
  </sheetData>
  <mergeCells count="39">
    <mergeCell ref="C4:F4"/>
    <mergeCell ref="G4:J4"/>
    <mergeCell ref="K4:N4"/>
    <mergeCell ref="O4:R4"/>
    <mergeCell ref="S4:V4"/>
    <mergeCell ref="S9:V9"/>
    <mergeCell ref="B10:B11"/>
    <mergeCell ref="B14:B17"/>
    <mergeCell ref="C17:F17"/>
    <mergeCell ref="G17:J17"/>
    <mergeCell ref="K17:N17"/>
    <mergeCell ref="O17:R17"/>
    <mergeCell ref="S17:V17"/>
    <mergeCell ref="B6:B9"/>
    <mergeCell ref="C9:F9"/>
    <mergeCell ref="G9:J9"/>
    <mergeCell ref="K9:N9"/>
    <mergeCell ref="O9:R9"/>
    <mergeCell ref="B18:B19"/>
    <mergeCell ref="B22:B25"/>
    <mergeCell ref="C25:F25"/>
    <mergeCell ref="G25:J25"/>
    <mergeCell ref="K25:N25"/>
    <mergeCell ref="S25:V25"/>
    <mergeCell ref="B26:B28"/>
    <mergeCell ref="B31:B34"/>
    <mergeCell ref="C34:F34"/>
    <mergeCell ref="K34:N34"/>
    <mergeCell ref="O34:R34"/>
    <mergeCell ref="S34:V34"/>
    <mergeCell ref="O25:R25"/>
    <mergeCell ref="S42:V42"/>
    <mergeCell ref="B43:B44"/>
    <mergeCell ref="B35:B36"/>
    <mergeCell ref="B39:B42"/>
    <mergeCell ref="C42:F42"/>
    <mergeCell ref="G42:J42"/>
    <mergeCell ref="K42:N42"/>
    <mergeCell ref="O42:R42"/>
  </mergeCells>
  <phoneticPr fontId="2" type="noConversion"/>
  <conditionalFormatting sqref="A1:V33 W1:XFD45 A34:F34 K34:V34 A35:V45 A46:XFD1048576">
    <cfRule type="containsText" dxfId="80" priority="1" operator="containsText" text="더베스트">
      <formula>NOT(ISERROR(SEARCH("더베스트",A1)))</formula>
    </cfRule>
    <cfRule type="containsText" dxfId="79" priority="2" operator="containsText" text="트루">
      <formula>NOT(ISERROR(SEARCH("트루",A1)))</formula>
    </cfRule>
    <cfRule type="containsText" dxfId="78" priority="3" operator="containsText" text="현대홈">
      <formula>NOT(ISERROR(SEARCH("현대홈",A1)))</formula>
    </cfRule>
  </conditionalFormatting>
  <pageMargins left="0.39370078740157483" right="0.39370078740157483" top="0.39370078740157483" bottom="0.39370078740157483" header="0.31496062992125984" footer="0.31496062992125984"/>
  <pageSetup paperSize="9" scale="4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B1:Z44"/>
  <sheetViews>
    <sheetView showGridLines="0" zoomScale="55" zoomScaleNormal="55" workbookViewId="0">
      <selection activeCell="X17" sqref="X17"/>
    </sheetView>
  </sheetViews>
  <sheetFormatPr defaultRowHeight="30.75" customHeight="1" x14ac:dyDescent="0.3"/>
  <cols>
    <col min="1" max="1" width="1.875" style="1" customWidth="1"/>
    <col min="2" max="2" width="14" style="1" customWidth="1"/>
    <col min="3" max="3" width="8.375" style="1" customWidth="1"/>
    <col min="4" max="4" width="25.375" style="1" customWidth="1"/>
    <col min="5" max="6" width="9.125" style="1" customWidth="1"/>
    <col min="7" max="7" width="7.75" style="1" customWidth="1"/>
    <col min="8" max="8" width="25.375" style="1" customWidth="1"/>
    <col min="9" max="10" width="9.125" style="1" customWidth="1"/>
    <col min="11" max="11" width="7.75" style="1" customWidth="1"/>
    <col min="12" max="12" width="25.375" style="1" customWidth="1"/>
    <col min="13" max="14" width="9.125" style="1" customWidth="1"/>
    <col min="15" max="15" width="7.75" style="1" customWidth="1"/>
    <col min="16" max="16" width="25.375" style="1" customWidth="1"/>
    <col min="17" max="18" width="9.125" style="1" customWidth="1"/>
    <col min="19" max="19" width="7.75" style="1" customWidth="1"/>
    <col min="20" max="20" width="25.375" style="1" customWidth="1"/>
    <col min="21" max="22" width="9.125" style="1" customWidth="1"/>
    <col min="23" max="23" width="1.875" style="1" customWidth="1"/>
    <col min="24" max="16384" width="9" style="1"/>
  </cols>
  <sheetData>
    <row r="1" spans="2:26" ht="9" customHeight="1" x14ac:dyDescent="0.3">
      <c r="B1" s="207"/>
    </row>
    <row r="2" spans="2:26" ht="86.25" customHeight="1" thickBot="1" x14ac:dyDescent="0.35">
      <c r="B2" s="132" t="s">
        <v>102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</row>
    <row r="3" spans="2:26" ht="30.75" customHeight="1" thickTop="1" x14ac:dyDescent="0.3">
      <c r="B3" s="777" t="s">
        <v>436</v>
      </c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</row>
    <row r="4" spans="2:26" ht="30.75" customHeight="1" thickBot="1" x14ac:dyDescent="0.35">
      <c r="B4" s="4" t="s">
        <v>0</v>
      </c>
      <c r="C4" s="1077" t="s">
        <v>1</v>
      </c>
      <c r="D4" s="1077"/>
      <c r="E4" s="1077"/>
      <c r="F4" s="1077"/>
      <c r="G4" s="1077" t="s">
        <v>2</v>
      </c>
      <c r="H4" s="1077"/>
      <c r="I4" s="1077"/>
      <c r="J4" s="1077"/>
      <c r="K4" s="1077" t="s">
        <v>3</v>
      </c>
      <c r="L4" s="1077"/>
      <c r="M4" s="1077"/>
      <c r="N4" s="1077"/>
      <c r="O4" s="1077" t="s">
        <v>4</v>
      </c>
      <c r="P4" s="1077"/>
      <c r="Q4" s="1077"/>
      <c r="R4" s="1077"/>
      <c r="S4" s="1077" t="s">
        <v>5</v>
      </c>
      <c r="T4" s="1077"/>
      <c r="U4" s="1077"/>
      <c r="V4" s="1078"/>
    </row>
    <row r="5" spans="2:26" ht="30.75" customHeight="1" thickTop="1" thickBot="1" x14ac:dyDescent="0.35">
      <c r="B5" s="34" t="s">
        <v>28</v>
      </c>
      <c r="C5" s="2">
        <v>1</v>
      </c>
      <c r="D5" s="3" t="s">
        <v>6</v>
      </c>
      <c r="E5" s="3" t="s">
        <v>7</v>
      </c>
      <c r="F5" s="4" t="s">
        <v>8</v>
      </c>
      <c r="G5" s="5">
        <f>C5+1</f>
        <v>2</v>
      </c>
      <c r="H5" s="3" t="s">
        <v>6</v>
      </c>
      <c r="I5" s="3" t="s">
        <v>7</v>
      </c>
      <c r="J5" s="6" t="s">
        <v>8</v>
      </c>
      <c r="K5" s="5">
        <f>G5+1</f>
        <v>3</v>
      </c>
      <c r="L5" s="3" t="s">
        <v>6</v>
      </c>
      <c r="M5" s="3" t="s">
        <v>7</v>
      </c>
      <c r="N5" s="6" t="s">
        <v>8</v>
      </c>
      <c r="O5" s="5">
        <f>K5+1</f>
        <v>4</v>
      </c>
      <c r="P5" s="3" t="s">
        <v>6</v>
      </c>
      <c r="Q5" s="3" t="s">
        <v>7</v>
      </c>
      <c r="R5" s="6" t="s">
        <v>8</v>
      </c>
      <c r="S5" s="5">
        <f>O5+1</f>
        <v>5</v>
      </c>
      <c r="T5" s="3" t="s">
        <v>6</v>
      </c>
      <c r="U5" s="3" t="s">
        <v>7</v>
      </c>
      <c r="V5" s="16" t="s">
        <v>8</v>
      </c>
    </row>
    <row r="6" spans="2:26" ht="30.75" customHeight="1" thickTop="1" x14ac:dyDescent="0.3">
      <c r="B6" s="1085" t="s">
        <v>9</v>
      </c>
      <c r="C6" s="36">
        <v>0.39583333333333331</v>
      </c>
      <c r="D6" s="37" t="s">
        <v>227</v>
      </c>
      <c r="E6" s="38"/>
      <c r="F6" s="39"/>
      <c r="G6" s="40">
        <v>0.40277777777777779</v>
      </c>
      <c r="H6" s="37" t="s">
        <v>171</v>
      </c>
      <c r="I6" s="38"/>
      <c r="J6" s="41"/>
      <c r="K6" s="212"/>
      <c r="L6" s="213"/>
      <c r="M6" s="214"/>
      <c r="N6" s="215"/>
      <c r="O6" s="40">
        <v>0.39583333333333331</v>
      </c>
      <c r="P6" s="37" t="s">
        <v>369</v>
      </c>
      <c r="Q6" s="38"/>
      <c r="R6" s="41"/>
      <c r="S6" s="40">
        <v>0.39583333333333331</v>
      </c>
      <c r="T6" s="37" t="s">
        <v>70</v>
      </c>
      <c r="U6" s="38"/>
      <c r="V6" s="43"/>
    </row>
    <row r="7" spans="2:26" ht="30.75" customHeight="1" x14ac:dyDescent="0.3">
      <c r="B7" s="1085"/>
      <c r="C7" s="240"/>
      <c r="D7" s="45"/>
      <c r="E7" s="46"/>
      <c r="F7" s="47"/>
      <c r="G7" s="50">
        <v>0.58333333333333337</v>
      </c>
      <c r="H7" s="45" t="s">
        <v>424</v>
      </c>
      <c r="I7" s="46"/>
      <c r="J7" s="49"/>
      <c r="K7" s="217"/>
      <c r="L7" s="218"/>
      <c r="M7" s="219"/>
      <c r="N7" s="220"/>
      <c r="O7" s="50">
        <v>0.45833333333333331</v>
      </c>
      <c r="P7" s="45" t="s">
        <v>438</v>
      </c>
      <c r="Q7" s="46"/>
      <c r="R7" s="49"/>
      <c r="S7" s="50">
        <v>0.4375</v>
      </c>
      <c r="T7" s="45" t="s">
        <v>294</v>
      </c>
      <c r="U7" s="46"/>
      <c r="V7" s="52"/>
    </row>
    <row r="8" spans="2:26" ht="30.75" customHeight="1" x14ac:dyDescent="0.3">
      <c r="B8" s="1085"/>
      <c r="C8" s="53"/>
      <c r="D8" s="54"/>
      <c r="E8" s="55"/>
      <c r="F8" s="56"/>
      <c r="G8" s="774">
        <v>0.375</v>
      </c>
      <c r="H8" s="775" t="s">
        <v>419</v>
      </c>
      <c r="I8" s="776"/>
      <c r="J8" s="778"/>
      <c r="K8" s="223"/>
      <c r="L8" s="224"/>
      <c r="M8" s="225"/>
      <c r="N8" s="226"/>
      <c r="O8" s="57"/>
      <c r="P8" s="54"/>
      <c r="Q8" s="55"/>
      <c r="R8" s="58"/>
      <c r="S8" s="258">
        <v>0.46875</v>
      </c>
      <c r="T8" s="54" t="s">
        <v>425</v>
      </c>
      <c r="U8" s="55"/>
      <c r="V8" s="60"/>
    </row>
    <row r="9" spans="2:26" ht="42" customHeight="1" x14ac:dyDescent="0.3">
      <c r="B9" s="1086"/>
      <c r="C9" s="1108"/>
      <c r="D9" s="1103"/>
      <c r="E9" s="1103"/>
      <c r="F9" s="1109"/>
      <c r="G9" s="1102"/>
      <c r="H9" s="1103"/>
      <c r="I9" s="1103"/>
      <c r="J9" s="1109"/>
      <c r="K9" s="1121"/>
      <c r="L9" s="1122"/>
      <c r="M9" s="1122"/>
      <c r="N9" s="1123"/>
      <c r="O9" s="1102"/>
      <c r="P9" s="1103"/>
      <c r="Q9" s="1103"/>
      <c r="R9" s="1109"/>
      <c r="S9" s="1102" t="s">
        <v>422</v>
      </c>
      <c r="T9" s="1103"/>
      <c r="U9" s="1103"/>
      <c r="V9" s="1103"/>
    </row>
    <row r="10" spans="2:26" ht="30.75" customHeight="1" x14ac:dyDescent="0.3">
      <c r="B10" s="1087" t="s">
        <v>12</v>
      </c>
      <c r="C10" s="62">
        <v>0.375</v>
      </c>
      <c r="D10" s="63" t="s">
        <v>260</v>
      </c>
      <c r="E10" s="64"/>
      <c r="F10" s="61"/>
      <c r="G10" s="65">
        <v>0.39583333333333331</v>
      </c>
      <c r="H10" s="63" t="s">
        <v>319</v>
      </c>
      <c r="I10" s="64"/>
      <c r="J10" s="66"/>
      <c r="K10" s="228"/>
      <c r="L10" s="200"/>
      <c r="M10" s="201"/>
      <c r="N10" s="229"/>
      <c r="O10" s="65">
        <v>0.40277777777777779</v>
      </c>
      <c r="P10" s="63" t="s">
        <v>152</v>
      </c>
      <c r="Q10" s="64"/>
      <c r="R10" s="66"/>
      <c r="S10" s="65">
        <v>0.375</v>
      </c>
      <c r="T10" s="63" t="s">
        <v>384</v>
      </c>
      <c r="U10" s="64"/>
      <c r="V10" s="67"/>
    </row>
    <row r="11" spans="2:26" ht="30.75" customHeight="1" x14ac:dyDescent="0.3">
      <c r="B11" s="1088"/>
      <c r="C11" s="69">
        <v>0.4375</v>
      </c>
      <c r="D11" s="70" t="s">
        <v>259</v>
      </c>
      <c r="E11" s="71"/>
      <c r="F11" s="68"/>
      <c r="G11" s="72"/>
      <c r="H11" s="70"/>
      <c r="I11" s="71"/>
      <c r="J11" s="73"/>
      <c r="K11" s="231"/>
      <c r="L11" s="204"/>
      <c r="M11" s="205"/>
      <c r="N11" s="232"/>
      <c r="O11" s="72"/>
      <c r="P11" s="70"/>
      <c r="Q11" s="71"/>
      <c r="R11" s="73"/>
      <c r="S11" s="72">
        <v>0.54166666666666663</v>
      </c>
      <c r="T11" s="70" t="s">
        <v>95</v>
      </c>
      <c r="U11" s="71"/>
      <c r="V11" s="74"/>
    </row>
    <row r="12" spans="2:26" ht="30.75" customHeight="1" thickBot="1" x14ac:dyDescent="0.35">
      <c r="B12" s="18" t="s">
        <v>13</v>
      </c>
      <c r="C12" s="10"/>
      <c r="D12" s="11"/>
      <c r="E12" s="12"/>
      <c r="F12" s="9"/>
      <c r="G12" s="22"/>
      <c r="H12" s="20"/>
      <c r="I12" s="21"/>
      <c r="J12" s="23"/>
      <c r="K12" s="234"/>
      <c r="L12" s="235"/>
      <c r="M12" s="236"/>
      <c r="N12" s="237"/>
      <c r="O12" s="13"/>
      <c r="P12" s="11"/>
      <c r="Q12" s="12"/>
      <c r="R12" s="14"/>
      <c r="S12" s="15"/>
      <c r="T12" s="11"/>
      <c r="U12" s="12"/>
      <c r="V12" s="17"/>
    </row>
    <row r="13" spans="2:26" ht="30.75" customHeight="1" thickTop="1" thickBot="1" x14ac:dyDescent="0.35">
      <c r="B13" s="35" t="s">
        <v>29</v>
      </c>
      <c r="C13" s="2">
        <f>S5+3</f>
        <v>8</v>
      </c>
      <c r="D13" s="3" t="s">
        <v>6</v>
      </c>
      <c r="E13" s="3" t="s">
        <v>7</v>
      </c>
      <c r="F13" s="712" t="s">
        <v>8</v>
      </c>
      <c r="G13" s="285">
        <f>C13+1</f>
        <v>9</v>
      </c>
      <c r="H13" s="286" t="s">
        <v>6</v>
      </c>
      <c r="I13" s="286" t="s">
        <v>7</v>
      </c>
      <c r="J13" s="287" t="s">
        <v>8</v>
      </c>
      <c r="K13" s="300">
        <f>G13+1</f>
        <v>10</v>
      </c>
      <c r="L13" s="3" t="s">
        <v>6</v>
      </c>
      <c r="M13" s="3" t="s">
        <v>7</v>
      </c>
      <c r="N13" s="6" t="s">
        <v>8</v>
      </c>
      <c r="O13" s="5">
        <f>K13+1</f>
        <v>11</v>
      </c>
      <c r="P13" s="3" t="s">
        <v>6</v>
      </c>
      <c r="Q13" s="3" t="s">
        <v>7</v>
      </c>
      <c r="R13" s="6" t="s">
        <v>8</v>
      </c>
      <c r="S13" s="369">
        <f>O13+1</f>
        <v>12</v>
      </c>
      <c r="T13" s="349" t="s">
        <v>6</v>
      </c>
      <c r="U13" s="349" t="s">
        <v>7</v>
      </c>
      <c r="V13" s="371" t="s">
        <v>8</v>
      </c>
    </row>
    <row r="14" spans="2:26" ht="30.75" customHeight="1" thickTop="1" x14ac:dyDescent="0.3">
      <c r="B14" s="1085" t="s">
        <v>9</v>
      </c>
      <c r="C14" s="36"/>
      <c r="D14" s="37"/>
      <c r="E14" s="38"/>
      <c r="F14" s="449"/>
      <c r="G14" s="288">
        <v>0.40277777777777779</v>
      </c>
      <c r="H14" s="37" t="s">
        <v>149</v>
      </c>
      <c r="I14" s="38"/>
      <c r="J14" s="289"/>
      <c r="K14" s="347">
        <v>0.40277777777777779</v>
      </c>
      <c r="L14" s="37" t="s">
        <v>22</v>
      </c>
      <c r="M14" s="38"/>
      <c r="N14" s="41"/>
      <c r="O14" s="40">
        <v>0.40277777777777779</v>
      </c>
      <c r="P14" s="37" t="s">
        <v>150</v>
      </c>
      <c r="Q14" s="38"/>
      <c r="R14" s="43"/>
      <c r="S14" s="384">
        <v>0.39583333333333331</v>
      </c>
      <c r="T14" s="352" t="s">
        <v>135</v>
      </c>
      <c r="U14" s="353"/>
      <c r="V14" s="1201" t="s">
        <v>429</v>
      </c>
      <c r="X14" s="605">
        <v>0.375</v>
      </c>
      <c r="Y14" s="207" t="s">
        <v>283</v>
      </c>
      <c r="Z14" s="1" t="s">
        <v>377</v>
      </c>
    </row>
    <row r="15" spans="2:26" ht="30.75" customHeight="1" x14ac:dyDescent="0.3">
      <c r="B15" s="1085"/>
      <c r="C15" s="240">
        <v>0.41666666666666669</v>
      </c>
      <c r="D15" s="45" t="s">
        <v>164</v>
      </c>
      <c r="E15" s="46"/>
      <c r="F15" s="450"/>
      <c r="G15" s="792">
        <v>0.39583333333333331</v>
      </c>
      <c r="H15" s="785"/>
      <c r="I15" s="632" t="s">
        <v>417</v>
      </c>
      <c r="J15" s="793"/>
      <c r="K15" s="301">
        <v>0.46527777777777779</v>
      </c>
      <c r="L15" s="45" t="s">
        <v>170</v>
      </c>
      <c r="M15" s="46"/>
      <c r="N15" s="49"/>
      <c r="O15" s="794">
        <v>0.5625</v>
      </c>
      <c r="P15" s="279" t="s">
        <v>235</v>
      </c>
      <c r="Q15" s="280"/>
      <c r="R15" s="281"/>
      <c r="S15" s="788">
        <v>0.375</v>
      </c>
      <c r="T15" s="786" t="s">
        <v>352</v>
      </c>
      <c r="U15" s="787" t="s">
        <v>426</v>
      </c>
      <c r="V15" s="1202"/>
      <c r="X15" s="605">
        <v>0.44444444444444442</v>
      </c>
      <c r="Y15" s="207" t="s">
        <v>427</v>
      </c>
      <c r="Z15" s="1" t="s">
        <v>377</v>
      </c>
    </row>
    <row r="16" spans="2:26" ht="30.75" customHeight="1" thickBot="1" x14ac:dyDescent="0.35">
      <c r="B16" s="1085"/>
      <c r="C16" s="256">
        <v>0.45833333333333331</v>
      </c>
      <c r="D16" s="54" t="s">
        <v>418</v>
      </c>
      <c r="E16" s="55"/>
      <c r="F16" s="713"/>
      <c r="G16" s="382"/>
      <c r="H16" s="54"/>
      <c r="I16" s="55"/>
      <c r="J16" s="383"/>
      <c r="K16" s="324"/>
      <c r="L16" s="797" t="s">
        <v>440</v>
      </c>
      <c r="M16" s="55"/>
      <c r="N16" s="58"/>
      <c r="O16" s="795"/>
      <c r="P16" s="275"/>
      <c r="Q16" s="276"/>
      <c r="R16" s="796"/>
      <c r="S16" s="789">
        <v>0.44444444444444442</v>
      </c>
      <c r="T16" s="790" t="s">
        <v>427</v>
      </c>
      <c r="U16" s="791" t="s">
        <v>417</v>
      </c>
      <c r="V16" s="1203"/>
    </row>
    <row r="17" spans="2:22" ht="42" customHeight="1" thickTop="1" x14ac:dyDescent="0.3">
      <c r="B17" s="1086"/>
      <c r="C17" s="1108"/>
      <c r="D17" s="1103"/>
      <c r="E17" s="1103"/>
      <c r="F17" s="1103"/>
      <c r="G17" s="1197" t="s">
        <v>430</v>
      </c>
      <c r="H17" s="1133"/>
      <c r="I17" s="1133"/>
      <c r="J17" s="1198"/>
      <c r="K17" s="1103"/>
      <c r="L17" s="1103"/>
      <c r="M17" s="1103"/>
      <c r="N17" s="1109"/>
      <c r="O17" s="1102"/>
      <c r="P17" s="1103"/>
      <c r="Q17" s="1103"/>
      <c r="R17" s="1109"/>
      <c r="S17" s="1199"/>
      <c r="T17" s="1200"/>
      <c r="U17" s="1200"/>
      <c r="V17" s="1200"/>
    </row>
    <row r="18" spans="2:22" ht="30.75" customHeight="1" x14ac:dyDescent="0.3">
      <c r="B18" s="1079" t="s">
        <v>12</v>
      </c>
      <c r="C18" s="62">
        <v>0.375</v>
      </c>
      <c r="D18" s="63" t="s">
        <v>351</v>
      </c>
      <c r="E18" s="64"/>
      <c r="F18" s="440"/>
      <c r="G18" s="290">
        <v>0.39583333333333331</v>
      </c>
      <c r="H18" s="63" t="s">
        <v>370</v>
      </c>
      <c r="I18" s="64"/>
      <c r="J18" s="291"/>
      <c r="K18" s="302">
        <v>0.39583333333333331</v>
      </c>
      <c r="L18" s="63" t="s">
        <v>72</v>
      </c>
      <c r="M18" s="64"/>
      <c r="N18" s="66"/>
      <c r="O18" s="65">
        <v>0.39583333333333331</v>
      </c>
      <c r="P18" s="63" t="s">
        <v>136</v>
      </c>
      <c r="Q18" s="64"/>
      <c r="R18" s="66"/>
      <c r="S18" s="65">
        <v>0.41666666666666669</v>
      </c>
      <c r="T18" s="63" t="s">
        <v>15</v>
      </c>
      <c r="U18" s="64"/>
      <c r="V18" s="67"/>
    </row>
    <row r="19" spans="2:22" ht="30.75" customHeight="1" x14ac:dyDescent="0.3">
      <c r="B19" s="1080"/>
      <c r="C19" s="69">
        <v>0.41666666666666669</v>
      </c>
      <c r="D19" s="70" t="s">
        <v>361</v>
      </c>
      <c r="E19" s="71"/>
      <c r="F19" s="441"/>
      <c r="G19" s="292">
        <v>0.44444444444444442</v>
      </c>
      <c r="H19" s="70" t="s">
        <v>141</v>
      </c>
      <c r="I19" s="71"/>
      <c r="J19" s="293"/>
      <c r="K19" s="303">
        <v>0.4375</v>
      </c>
      <c r="L19" s="70" t="s">
        <v>439</v>
      </c>
      <c r="M19" s="71"/>
      <c r="N19" s="73"/>
      <c r="O19" s="72"/>
      <c r="P19" s="70"/>
      <c r="Q19" s="71"/>
      <c r="R19" s="73"/>
      <c r="S19" s="72">
        <v>0.45833333333333331</v>
      </c>
      <c r="T19" s="70" t="s">
        <v>101</v>
      </c>
      <c r="U19" s="71"/>
      <c r="V19" s="74"/>
    </row>
    <row r="20" spans="2:22" ht="30.75" customHeight="1" thickBot="1" x14ac:dyDescent="0.35">
      <c r="B20" s="9" t="s">
        <v>13</v>
      </c>
      <c r="C20" s="10"/>
      <c r="D20" s="11"/>
      <c r="E20" s="12"/>
      <c r="F20" s="299"/>
      <c r="G20" s="672"/>
      <c r="H20" s="295"/>
      <c r="I20" s="296"/>
      <c r="J20" s="297"/>
      <c r="K20" s="304"/>
      <c r="L20" s="11"/>
      <c r="M20" s="12"/>
      <c r="N20" s="14"/>
      <c r="O20" s="13"/>
      <c r="P20" s="11"/>
      <c r="Q20" s="12"/>
      <c r="R20" s="14"/>
      <c r="S20" s="15"/>
      <c r="T20" s="11"/>
      <c r="U20" s="12"/>
      <c r="V20" s="17"/>
    </row>
    <row r="21" spans="2:22" ht="30.75" customHeight="1" thickTop="1" thickBot="1" x14ac:dyDescent="0.35">
      <c r="B21" s="35" t="s">
        <v>30</v>
      </c>
      <c r="C21" s="2">
        <f>S13+3</f>
        <v>15</v>
      </c>
      <c r="D21" s="3" t="s">
        <v>6</v>
      </c>
      <c r="E21" s="3" t="s">
        <v>7</v>
      </c>
      <c r="F21" s="4" t="s">
        <v>8</v>
      </c>
      <c r="G21" s="282">
        <f>C21+1</f>
        <v>16</v>
      </c>
      <c r="H21" s="283" t="s">
        <v>6</v>
      </c>
      <c r="I21" s="283" t="s">
        <v>7</v>
      </c>
      <c r="J21" s="484" t="s">
        <v>8</v>
      </c>
      <c r="K21" s="5">
        <f>G21+1</f>
        <v>17</v>
      </c>
      <c r="L21" s="3" t="s">
        <v>6</v>
      </c>
      <c r="M21" s="3" t="s">
        <v>7</v>
      </c>
      <c r="N21" s="6" t="s">
        <v>8</v>
      </c>
      <c r="O21" s="5">
        <f>K21+1</f>
        <v>18</v>
      </c>
      <c r="P21" s="3" t="s">
        <v>6</v>
      </c>
      <c r="Q21" s="3" t="s">
        <v>7</v>
      </c>
      <c r="R21" s="6" t="s">
        <v>8</v>
      </c>
      <c r="S21" s="5">
        <f>O21+1</f>
        <v>19</v>
      </c>
      <c r="T21" s="3" t="s">
        <v>6</v>
      </c>
      <c r="U21" s="3" t="s">
        <v>7</v>
      </c>
      <c r="V21" s="16" t="s">
        <v>8</v>
      </c>
    </row>
    <row r="22" spans="2:22" ht="30.75" customHeight="1" thickTop="1" x14ac:dyDescent="0.3">
      <c r="B22" s="1085" t="s">
        <v>9</v>
      </c>
      <c r="C22" s="36">
        <v>0.40277777777777779</v>
      </c>
      <c r="D22" s="37" t="s">
        <v>216</v>
      </c>
      <c r="E22" s="38"/>
      <c r="F22" s="39"/>
      <c r="G22" s="40">
        <v>0.40277777777777779</v>
      </c>
      <c r="H22" s="37" t="s">
        <v>321</v>
      </c>
      <c r="I22" s="38"/>
      <c r="J22" s="41"/>
      <c r="K22" s="40">
        <v>0.41666666666666669</v>
      </c>
      <c r="L22" s="37" t="s">
        <v>241</v>
      </c>
      <c r="M22" s="38"/>
      <c r="N22" s="41"/>
      <c r="O22" s="40">
        <v>0.375</v>
      </c>
      <c r="P22" s="37" t="s">
        <v>205</v>
      </c>
      <c r="Q22" s="38"/>
      <c r="R22" s="41"/>
      <c r="S22" s="40">
        <v>0.375</v>
      </c>
      <c r="T22" s="37" t="s">
        <v>416</v>
      </c>
      <c r="U22" s="38"/>
      <c r="V22" s="43"/>
    </row>
    <row r="23" spans="2:22" ht="30.75" customHeight="1" x14ac:dyDescent="0.3">
      <c r="B23" s="1085"/>
      <c r="C23" s="240">
        <v>0.4375</v>
      </c>
      <c r="D23" s="45" t="s">
        <v>53</v>
      </c>
      <c r="E23" s="46"/>
      <c r="F23" s="47"/>
      <c r="G23" s="50">
        <v>0.45833333333333331</v>
      </c>
      <c r="H23" s="45" t="s">
        <v>428</v>
      </c>
      <c r="I23" s="46"/>
      <c r="J23" s="49"/>
      <c r="K23" s="50">
        <v>0.46527777777777779</v>
      </c>
      <c r="L23" s="45" t="s">
        <v>37</v>
      </c>
      <c r="M23" s="46"/>
      <c r="N23" s="49"/>
      <c r="O23" s="50">
        <v>0.45833333333333331</v>
      </c>
      <c r="P23" s="45" t="s">
        <v>382</v>
      </c>
      <c r="Q23" s="46"/>
      <c r="R23" s="49"/>
      <c r="S23" s="50">
        <v>0.45833333333333331</v>
      </c>
      <c r="T23" s="45" t="s">
        <v>433</v>
      </c>
      <c r="U23" s="46"/>
      <c r="V23" s="52"/>
    </row>
    <row r="24" spans="2:22" ht="30.75" hidden="1" customHeight="1" x14ac:dyDescent="0.3">
      <c r="B24" s="1085"/>
      <c r="C24" s="53"/>
      <c r="D24" s="54"/>
      <c r="E24" s="55"/>
      <c r="F24" s="56"/>
      <c r="G24" s="57"/>
      <c r="H24" s="54"/>
      <c r="I24" s="55"/>
      <c r="J24" s="58"/>
      <c r="K24" s="57"/>
      <c r="L24" s="54"/>
      <c r="M24" s="55"/>
      <c r="N24" s="58"/>
      <c r="O24" s="57"/>
      <c r="P24" s="54"/>
      <c r="Q24" s="55"/>
      <c r="R24" s="58"/>
      <c r="S24" s="57"/>
      <c r="T24" s="54"/>
      <c r="U24" s="55"/>
      <c r="V24" s="60"/>
    </row>
    <row r="25" spans="2:22" ht="42" customHeight="1" x14ac:dyDescent="0.3">
      <c r="B25" s="1086"/>
      <c r="C25" s="1108"/>
      <c r="D25" s="1103"/>
      <c r="E25" s="1103"/>
      <c r="F25" s="1109"/>
      <c r="G25" s="1204" t="s">
        <v>435</v>
      </c>
      <c r="H25" s="1186"/>
      <c r="I25" s="1186"/>
      <c r="J25" s="1205"/>
      <c r="K25" s="1102" t="s">
        <v>444</v>
      </c>
      <c r="L25" s="1103"/>
      <c r="M25" s="1103"/>
      <c r="N25" s="1109"/>
      <c r="O25" s="1102"/>
      <c r="P25" s="1103"/>
      <c r="Q25" s="1103"/>
      <c r="R25" s="1109"/>
      <c r="S25" s="1204" t="s">
        <v>434</v>
      </c>
      <c r="T25" s="1186"/>
      <c r="U25" s="1186"/>
      <c r="V25" s="1186"/>
    </row>
    <row r="26" spans="2:22" ht="30.75" customHeight="1" x14ac:dyDescent="0.3">
      <c r="B26" s="1079" t="s">
        <v>12</v>
      </c>
      <c r="C26" s="62">
        <v>0.39583333333333331</v>
      </c>
      <c r="D26" s="63" t="s">
        <v>432</v>
      </c>
      <c r="E26" s="64"/>
      <c r="F26" s="61"/>
      <c r="G26" s="65">
        <v>0.39583333333333331</v>
      </c>
      <c r="H26" s="63" t="s">
        <v>173</v>
      </c>
      <c r="I26" s="64"/>
      <c r="J26" s="66"/>
      <c r="K26" s="65" t="s">
        <v>423</v>
      </c>
      <c r="L26" s="63" t="s">
        <v>41</v>
      </c>
      <c r="M26" s="64"/>
      <c r="N26" s="66"/>
      <c r="O26" s="65">
        <v>0.40277777777777779</v>
      </c>
      <c r="P26" s="63" t="s">
        <v>213</v>
      </c>
      <c r="Q26" s="64"/>
      <c r="R26" s="66"/>
      <c r="S26" s="65">
        <v>0.40277777777777779</v>
      </c>
      <c r="T26" s="63" t="s">
        <v>153</v>
      </c>
      <c r="U26" s="64"/>
      <c r="V26" s="67"/>
    </row>
    <row r="27" spans="2:22" ht="30.75" customHeight="1" x14ac:dyDescent="0.3">
      <c r="B27" s="1080"/>
      <c r="C27" s="69">
        <v>0.45833333333333331</v>
      </c>
      <c r="D27" s="70" t="s">
        <v>431</v>
      </c>
      <c r="E27" s="71"/>
      <c r="F27" s="68"/>
      <c r="G27" s="72"/>
      <c r="H27" s="70"/>
      <c r="I27" s="71"/>
      <c r="J27" s="73"/>
      <c r="K27" s="72"/>
      <c r="L27" s="70"/>
      <c r="M27" s="71"/>
      <c r="N27" s="73"/>
      <c r="O27" s="72"/>
      <c r="P27" s="70"/>
      <c r="Q27" s="71"/>
      <c r="R27" s="73"/>
      <c r="S27" s="72"/>
      <c r="T27" s="70"/>
      <c r="U27" s="71"/>
      <c r="V27" s="74"/>
    </row>
    <row r="28" spans="2:22" ht="30.75" customHeight="1" x14ac:dyDescent="0.3">
      <c r="B28" s="9" t="s">
        <v>13</v>
      </c>
      <c r="C28" s="10"/>
      <c r="D28" s="11"/>
      <c r="E28" s="12"/>
      <c r="F28" s="9"/>
      <c r="G28" s="13"/>
      <c r="H28" s="11"/>
      <c r="I28" s="12"/>
      <c r="J28" s="14"/>
      <c r="K28" s="13"/>
      <c r="L28" s="11"/>
      <c r="M28" s="12"/>
      <c r="N28" s="14"/>
      <c r="O28" s="13"/>
      <c r="P28" s="11"/>
      <c r="Q28" s="12"/>
      <c r="R28" s="14"/>
      <c r="S28" s="15"/>
      <c r="T28" s="11"/>
      <c r="U28" s="12"/>
      <c r="V28" s="17"/>
    </row>
    <row r="29" spans="2:22" ht="30.75" customHeight="1" thickBot="1" x14ac:dyDescent="0.35">
      <c r="B29" s="35" t="s">
        <v>31</v>
      </c>
      <c r="C29" s="2">
        <f>S21+3</f>
        <v>22</v>
      </c>
      <c r="D29" s="3" t="s">
        <v>6</v>
      </c>
      <c r="E29" s="3" t="s">
        <v>7</v>
      </c>
      <c r="F29" s="4" t="s">
        <v>8</v>
      </c>
      <c r="G29" s="5">
        <f>C29+1</f>
        <v>23</v>
      </c>
      <c r="H29" s="3" t="s">
        <v>6</v>
      </c>
      <c r="I29" s="3" t="s">
        <v>7</v>
      </c>
      <c r="J29" s="6" t="s">
        <v>8</v>
      </c>
      <c r="K29" s="5">
        <f>G29+1</f>
        <v>24</v>
      </c>
      <c r="L29" s="3" t="s">
        <v>6</v>
      </c>
      <c r="M29" s="3" t="s">
        <v>7</v>
      </c>
      <c r="N29" s="6" t="s">
        <v>8</v>
      </c>
      <c r="O29" s="5">
        <f>K29+1</f>
        <v>25</v>
      </c>
      <c r="P29" s="3" t="s">
        <v>6</v>
      </c>
      <c r="Q29" s="3" t="s">
        <v>7</v>
      </c>
      <c r="R29" s="6" t="s">
        <v>8</v>
      </c>
      <c r="S29" s="5">
        <f>O29+1</f>
        <v>26</v>
      </c>
      <c r="T29" s="3" t="s">
        <v>6</v>
      </c>
      <c r="U29" s="3" t="s">
        <v>7</v>
      </c>
      <c r="V29" s="16" t="s">
        <v>8</v>
      </c>
    </row>
    <row r="30" spans="2:22" ht="30.75" customHeight="1" thickTop="1" x14ac:dyDescent="0.3">
      <c r="B30" s="1085" t="s">
        <v>9</v>
      </c>
      <c r="C30" s="36">
        <v>0.39583333333333331</v>
      </c>
      <c r="D30" s="37" t="s">
        <v>363</v>
      </c>
      <c r="E30" s="38"/>
      <c r="F30" s="39"/>
      <c r="G30" s="40">
        <v>0.39583333333333331</v>
      </c>
      <c r="H30" s="37" t="s">
        <v>311</v>
      </c>
      <c r="I30" s="38"/>
      <c r="J30" s="41"/>
      <c r="K30" s="40"/>
      <c r="L30" s="37"/>
      <c r="M30" s="38"/>
      <c r="N30" s="41"/>
      <c r="O30" s="40">
        <v>0.375</v>
      </c>
      <c r="P30" s="37" t="s">
        <v>351</v>
      </c>
      <c r="Q30" s="38"/>
      <c r="R30" s="41"/>
      <c r="S30" s="40"/>
      <c r="T30" s="37"/>
      <c r="U30" s="38"/>
      <c r="V30" s="43"/>
    </row>
    <row r="31" spans="2:22" ht="30.75" hidden="1" customHeight="1" x14ac:dyDescent="0.3">
      <c r="B31" s="1085"/>
      <c r="C31" s="44"/>
      <c r="D31" s="45"/>
      <c r="E31" s="46"/>
      <c r="F31" s="47"/>
      <c r="G31" s="48"/>
      <c r="H31" s="45"/>
      <c r="I31" s="46"/>
      <c r="J31" s="49"/>
      <c r="K31" s="50"/>
      <c r="L31" s="45"/>
      <c r="M31" s="46"/>
      <c r="N31" s="49"/>
      <c r="O31" s="50"/>
      <c r="P31" s="45"/>
      <c r="Q31" s="46"/>
      <c r="R31" s="49"/>
      <c r="S31" s="48"/>
      <c r="T31" s="45"/>
      <c r="U31" s="46"/>
      <c r="V31" s="52"/>
    </row>
    <row r="32" spans="2:22" ht="30.75" hidden="1" customHeight="1" x14ac:dyDescent="0.3">
      <c r="B32" s="1085"/>
      <c r="C32" s="53"/>
      <c r="D32" s="54"/>
      <c r="E32" s="55"/>
      <c r="F32" s="56"/>
      <c r="G32" s="57"/>
      <c r="H32" s="54"/>
      <c r="I32" s="55"/>
      <c r="J32" s="58"/>
      <c r="K32" s="57"/>
      <c r="L32" s="54"/>
      <c r="M32" s="55"/>
      <c r="N32" s="58"/>
      <c r="O32" s="57"/>
      <c r="P32" s="54"/>
      <c r="Q32" s="55"/>
      <c r="R32" s="58"/>
      <c r="S32" s="57"/>
      <c r="T32" s="54"/>
      <c r="U32" s="55"/>
      <c r="V32" s="60"/>
    </row>
    <row r="33" spans="2:22" ht="42" customHeight="1" x14ac:dyDescent="0.3">
      <c r="B33" s="1086"/>
      <c r="C33" s="1108"/>
      <c r="D33" s="1103"/>
      <c r="E33" s="1103"/>
      <c r="F33" s="1109"/>
      <c r="G33" s="1102"/>
      <c r="H33" s="1103"/>
      <c r="I33" s="1103"/>
      <c r="J33" s="1109"/>
      <c r="K33" s="1102"/>
      <c r="L33" s="1103"/>
      <c r="M33" s="1103"/>
      <c r="N33" s="1109"/>
      <c r="O33" s="1102"/>
      <c r="P33" s="1103"/>
      <c r="Q33" s="1103"/>
      <c r="R33" s="1109"/>
      <c r="S33" s="1102"/>
      <c r="T33" s="1103"/>
      <c r="U33" s="1103"/>
      <c r="V33" s="1103"/>
    </row>
    <row r="34" spans="2:22" ht="30.75" customHeight="1" x14ac:dyDescent="0.3">
      <c r="B34" s="1079" t="s">
        <v>12</v>
      </c>
      <c r="C34" s="62">
        <v>0.40277777777777779</v>
      </c>
      <c r="D34" s="63" t="s">
        <v>184</v>
      </c>
      <c r="E34" s="64"/>
      <c r="F34" s="61"/>
      <c r="G34" s="65">
        <v>0.38541666666666669</v>
      </c>
      <c r="H34" s="63" t="s">
        <v>94</v>
      </c>
      <c r="I34" s="64"/>
      <c r="J34" s="66"/>
      <c r="K34" s="65">
        <v>0.39583333333333331</v>
      </c>
      <c r="L34" s="63" t="s">
        <v>200</v>
      </c>
      <c r="M34" s="64"/>
      <c r="N34" s="66"/>
      <c r="O34" s="65">
        <v>0.375</v>
      </c>
      <c r="P34" s="63" t="s">
        <v>47</v>
      </c>
      <c r="Q34" s="64"/>
      <c r="R34" s="66"/>
      <c r="S34" s="65">
        <v>0.375</v>
      </c>
      <c r="T34" s="63" t="s">
        <v>437</v>
      </c>
      <c r="U34" s="64"/>
      <c r="V34" s="67"/>
    </row>
    <row r="35" spans="2:22" ht="30.75" hidden="1" customHeight="1" x14ac:dyDescent="0.3">
      <c r="B35" s="1080"/>
      <c r="C35" s="69"/>
      <c r="D35" s="70"/>
      <c r="E35" s="71"/>
      <c r="F35" s="68"/>
      <c r="G35" s="72"/>
      <c r="H35" s="70"/>
      <c r="I35" s="71"/>
      <c r="J35" s="73"/>
      <c r="K35" s="72"/>
      <c r="L35" s="70"/>
      <c r="M35" s="71"/>
      <c r="N35" s="73"/>
      <c r="O35" s="72"/>
      <c r="P35" s="70"/>
      <c r="Q35" s="71"/>
      <c r="R35" s="73"/>
      <c r="S35" s="72"/>
      <c r="T35" s="70"/>
      <c r="U35" s="71"/>
      <c r="V35" s="74"/>
    </row>
    <row r="36" spans="2:22" ht="30.75" customHeight="1" x14ac:dyDescent="0.3">
      <c r="B36" s="9" t="s">
        <v>13</v>
      </c>
      <c r="C36" s="10"/>
      <c r="D36" s="11"/>
      <c r="E36" s="12"/>
      <c r="F36" s="9"/>
      <c r="G36" s="13"/>
      <c r="H36" s="11"/>
      <c r="I36" s="12"/>
      <c r="J36" s="14"/>
      <c r="K36" s="13"/>
      <c r="L36" s="11"/>
      <c r="M36" s="12"/>
      <c r="N36" s="14"/>
      <c r="O36" s="13"/>
      <c r="P36" s="11"/>
      <c r="Q36" s="12"/>
      <c r="R36" s="14"/>
      <c r="S36" s="15"/>
      <c r="T36" s="11"/>
      <c r="U36" s="12"/>
      <c r="V36" s="17"/>
    </row>
    <row r="37" spans="2:22" ht="30.75" customHeight="1" thickBot="1" x14ac:dyDescent="0.35">
      <c r="B37" s="35" t="s">
        <v>32</v>
      </c>
      <c r="C37" s="2">
        <f>S29+3</f>
        <v>29</v>
      </c>
      <c r="D37" s="3" t="s">
        <v>6</v>
      </c>
      <c r="E37" s="3" t="s">
        <v>7</v>
      </c>
      <c r="F37" s="4" t="s">
        <v>8</v>
      </c>
      <c r="G37" s="5">
        <f>C37+1</f>
        <v>30</v>
      </c>
      <c r="H37" s="3" t="s">
        <v>6</v>
      </c>
      <c r="I37" s="3" t="s">
        <v>7</v>
      </c>
      <c r="J37" s="6" t="s">
        <v>8</v>
      </c>
      <c r="K37" s="208"/>
      <c r="L37" s="209"/>
      <c r="M37" s="209"/>
      <c r="N37" s="210"/>
      <c r="O37" s="208"/>
      <c r="P37" s="209"/>
      <c r="Q37" s="209"/>
      <c r="R37" s="210"/>
      <c r="S37" s="208"/>
      <c r="T37" s="209"/>
      <c r="U37" s="209"/>
      <c r="V37" s="211"/>
    </row>
    <row r="38" spans="2:22" ht="30.75" customHeight="1" thickTop="1" x14ac:dyDescent="0.3">
      <c r="B38" s="1085" t="s">
        <v>9</v>
      </c>
      <c r="C38" s="36"/>
      <c r="D38" s="37"/>
      <c r="E38" s="38"/>
      <c r="F38" s="39"/>
      <c r="G38" s="40"/>
      <c r="H38" s="37"/>
      <c r="I38" s="38"/>
      <c r="J38" s="41"/>
      <c r="K38" s="212"/>
      <c r="L38" s="213"/>
      <c r="M38" s="214"/>
      <c r="N38" s="215"/>
      <c r="O38" s="212"/>
      <c r="P38" s="213"/>
      <c r="Q38" s="214"/>
      <c r="R38" s="215"/>
      <c r="S38" s="212"/>
      <c r="T38" s="213"/>
      <c r="U38" s="214"/>
      <c r="V38" s="216"/>
    </row>
    <row r="39" spans="2:22" ht="30.75" hidden="1" customHeight="1" x14ac:dyDescent="0.3">
      <c r="B39" s="1085"/>
      <c r="C39" s="44"/>
      <c r="D39" s="45"/>
      <c r="E39" s="46"/>
      <c r="F39" s="47"/>
      <c r="G39" s="48"/>
      <c r="H39" s="45"/>
      <c r="I39" s="46"/>
      <c r="J39" s="49"/>
      <c r="K39" s="217"/>
      <c r="L39" s="218"/>
      <c r="M39" s="219"/>
      <c r="N39" s="220"/>
      <c r="O39" s="217"/>
      <c r="P39" s="218"/>
      <c r="Q39" s="219"/>
      <c r="R39" s="220"/>
      <c r="S39" s="221"/>
      <c r="T39" s="218"/>
      <c r="U39" s="219"/>
      <c r="V39" s="222"/>
    </row>
    <row r="40" spans="2:22" ht="30.75" hidden="1" customHeight="1" x14ac:dyDescent="0.3">
      <c r="B40" s="1085"/>
      <c r="C40" s="53"/>
      <c r="D40" s="54"/>
      <c r="E40" s="55"/>
      <c r="F40" s="56"/>
      <c r="G40" s="57"/>
      <c r="H40" s="54"/>
      <c r="I40" s="55"/>
      <c r="J40" s="58"/>
      <c r="K40" s="223"/>
      <c r="L40" s="224"/>
      <c r="M40" s="225"/>
      <c r="N40" s="226"/>
      <c r="O40" s="223"/>
      <c r="P40" s="224"/>
      <c r="Q40" s="225"/>
      <c r="R40" s="226"/>
      <c r="S40" s="223"/>
      <c r="T40" s="224"/>
      <c r="U40" s="225"/>
      <c r="V40" s="227"/>
    </row>
    <row r="41" spans="2:22" ht="42" hidden="1" customHeight="1" x14ac:dyDescent="0.3">
      <c r="B41" s="1086"/>
      <c r="C41" s="1108"/>
      <c r="D41" s="1103"/>
      <c r="E41" s="1103"/>
      <c r="F41" s="1109"/>
      <c r="G41" s="1102"/>
      <c r="H41" s="1103"/>
      <c r="I41" s="1103"/>
      <c r="J41" s="1109"/>
      <c r="K41" s="1121"/>
      <c r="L41" s="1122"/>
      <c r="M41" s="1122"/>
      <c r="N41" s="1123"/>
      <c r="O41" s="1121"/>
      <c r="P41" s="1122"/>
      <c r="Q41" s="1122"/>
      <c r="R41" s="1123"/>
      <c r="S41" s="1121"/>
      <c r="T41" s="1122"/>
      <c r="U41" s="1122"/>
      <c r="V41" s="1122"/>
    </row>
    <row r="42" spans="2:22" ht="30.75" customHeight="1" x14ac:dyDescent="0.3">
      <c r="B42" s="1079" t="s">
        <v>12</v>
      </c>
      <c r="C42" s="62"/>
      <c r="D42" s="63"/>
      <c r="E42" s="64"/>
      <c r="F42" s="61"/>
      <c r="G42" s="65"/>
      <c r="H42" s="63"/>
      <c r="I42" s="64"/>
      <c r="J42" s="66"/>
      <c r="K42" s="228"/>
      <c r="L42" s="200"/>
      <c r="M42" s="201"/>
      <c r="N42" s="229"/>
      <c r="O42" s="228"/>
      <c r="P42" s="200"/>
      <c r="Q42" s="201"/>
      <c r="R42" s="229"/>
      <c r="S42" s="228"/>
      <c r="T42" s="200"/>
      <c r="U42" s="201"/>
      <c r="V42" s="230"/>
    </row>
    <row r="43" spans="2:22" ht="30.75" hidden="1" customHeight="1" x14ac:dyDescent="0.3">
      <c r="B43" s="1080"/>
      <c r="C43" s="69"/>
      <c r="D43" s="70"/>
      <c r="E43" s="71"/>
      <c r="F43" s="68"/>
      <c r="G43" s="72"/>
      <c r="H43" s="70"/>
      <c r="I43" s="71"/>
      <c r="J43" s="73"/>
      <c r="K43" s="231"/>
      <c r="L43" s="204"/>
      <c r="M43" s="205"/>
      <c r="N43" s="232"/>
      <c r="O43" s="231"/>
      <c r="P43" s="204"/>
      <c r="Q43" s="205"/>
      <c r="R43" s="232"/>
      <c r="S43" s="231"/>
      <c r="T43" s="204"/>
      <c r="U43" s="205"/>
      <c r="V43" s="233"/>
    </row>
    <row r="44" spans="2:22" ht="30.75" hidden="1" customHeight="1" x14ac:dyDescent="0.3">
      <c r="B44" s="9" t="s">
        <v>13</v>
      </c>
      <c r="C44" s="10"/>
      <c r="D44" s="11"/>
      <c r="E44" s="12"/>
      <c r="F44" s="9"/>
      <c r="G44" s="13"/>
      <c r="H44" s="11"/>
      <c r="I44" s="12"/>
      <c r="J44" s="14"/>
      <c r="K44" s="234"/>
      <c r="L44" s="235"/>
      <c r="M44" s="236"/>
      <c r="N44" s="237"/>
      <c r="O44" s="234"/>
      <c r="P44" s="235"/>
      <c r="Q44" s="236"/>
      <c r="R44" s="237"/>
      <c r="S44" s="238"/>
      <c r="T44" s="235"/>
      <c r="U44" s="236"/>
      <c r="V44" s="239"/>
    </row>
  </sheetData>
  <mergeCells count="41">
    <mergeCell ref="S41:V41"/>
    <mergeCell ref="B42:B43"/>
    <mergeCell ref="B34:B35"/>
    <mergeCell ref="B38:B41"/>
    <mergeCell ref="C41:F41"/>
    <mergeCell ref="G41:J41"/>
    <mergeCell ref="K41:N41"/>
    <mergeCell ref="O41:R41"/>
    <mergeCell ref="S25:V25"/>
    <mergeCell ref="B26:B27"/>
    <mergeCell ref="B30:B33"/>
    <mergeCell ref="C33:F33"/>
    <mergeCell ref="G33:J33"/>
    <mergeCell ref="K33:N33"/>
    <mergeCell ref="O33:R33"/>
    <mergeCell ref="S33:V33"/>
    <mergeCell ref="O25:R25"/>
    <mergeCell ref="B18:B19"/>
    <mergeCell ref="B22:B25"/>
    <mergeCell ref="C25:F25"/>
    <mergeCell ref="G25:J25"/>
    <mergeCell ref="K25:N25"/>
    <mergeCell ref="S9:V9"/>
    <mergeCell ref="B10:B11"/>
    <mergeCell ref="B14:B17"/>
    <mergeCell ref="C17:F17"/>
    <mergeCell ref="G17:J17"/>
    <mergeCell ref="K17:N17"/>
    <mergeCell ref="O17:R17"/>
    <mergeCell ref="S17:V17"/>
    <mergeCell ref="B6:B9"/>
    <mergeCell ref="C9:F9"/>
    <mergeCell ref="G9:J9"/>
    <mergeCell ref="K9:N9"/>
    <mergeCell ref="O9:R9"/>
    <mergeCell ref="V14:V16"/>
    <mergeCell ref="C4:F4"/>
    <mergeCell ref="G4:J4"/>
    <mergeCell ref="K4:N4"/>
    <mergeCell ref="O4:R4"/>
    <mergeCell ref="S4:V4"/>
  </mergeCells>
  <phoneticPr fontId="2" type="noConversion"/>
  <conditionalFormatting sqref="A1:V14 W1:XFD1048576 A15:U16 A17:V1048576">
    <cfRule type="containsText" dxfId="77" priority="1" operator="containsText" text="더베스트">
      <formula>NOT(ISERROR(SEARCH("더베스트",A1)))</formula>
    </cfRule>
    <cfRule type="containsText" dxfId="76" priority="2" operator="containsText" text="트루">
      <formula>NOT(ISERROR(SEARCH("트루",A1)))</formula>
    </cfRule>
    <cfRule type="containsText" dxfId="75" priority="3" operator="containsText" text="현대홈">
      <formula>NOT(ISERROR(SEARCH("현대홈",A1)))</formula>
    </cfRule>
  </conditionalFormatting>
  <pageMargins left="0.39370078740157483" right="0.39370078740157483" top="0.39370078740157483" bottom="0.39370078740157483" header="0.31496062992125984" footer="0.31496062992125984"/>
  <pageSetup paperSize="9" scale="45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7DF3-72EF-4D17-914F-423509F6170E}">
  <sheetPr>
    <tabColor rgb="FFC00000"/>
  </sheetPr>
  <dimension ref="B1:AA45"/>
  <sheetViews>
    <sheetView showGridLines="0" topLeftCell="A22" zoomScale="55" zoomScaleNormal="55" workbookViewId="0">
      <selection activeCell="AB38" sqref="AB38"/>
    </sheetView>
  </sheetViews>
  <sheetFormatPr defaultRowHeight="30.75" customHeight="1" x14ac:dyDescent="0.3"/>
  <cols>
    <col min="1" max="1" width="4.125" style="1" customWidth="1"/>
    <col min="2" max="2" width="14" style="1" customWidth="1"/>
    <col min="3" max="3" width="8.375" style="1" customWidth="1"/>
    <col min="4" max="4" width="25.375" style="1" customWidth="1"/>
    <col min="5" max="6" width="9.125" style="1" customWidth="1"/>
    <col min="7" max="7" width="7.75" style="1" customWidth="1"/>
    <col min="8" max="8" width="25.375" style="1" customWidth="1"/>
    <col min="9" max="10" width="9.125" style="1" customWidth="1"/>
    <col min="11" max="11" width="7.75" style="1" customWidth="1"/>
    <col min="12" max="12" width="25.375" style="1" customWidth="1"/>
    <col min="13" max="14" width="9.125" style="1" customWidth="1"/>
    <col min="15" max="15" width="7.75" style="1" customWidth="1"/>
    <col min="16" max="16" width="25.375" style="1" customWidth="1"/>
    <col min="17" max="18" width="9.125" style="1" customWidth="1"/>
    <col min="19" max="19" width="7.75" style="1" customWidth="1"/>
    <col min="20" max="20" width="25.375" style="1" customWidth="1"/>
    <col min="21" max="22" width="9.125" style="1" customWidth="1"/>
    <col min="23" max="23" width="4.125" style="1" customWidth="1"/>
    <col min="24" max="16384" width="9" style="1"/>
  </cols>
  <sheetData>
    <row r="1" spans="2:27" ht="21" customHeight="1" x14ac:dyDescent="0.3">
      <c r="B1" s="207"/>
    </row>
    <row r="2" spans="2:27" ht="96" customHeight="1" thickBot="1" x14ac:dyDescent="0.35">
      <c r="B2" s="132" t="s">
        <v>291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</row>
    <row r="3" spans="2:27" ht="30.75" customHeight="1" thickTop="1" x14ac:dyDescent="0.3">
      <c r="B3" s="777" t="s">
        <v>463</v>
      </c>
    </row>
    <row r="4" spans="2:27" ht="30.75" customHeight="1" thickBot="1" x14ac:dyDescent="0.35">
      <c r="B4" s="4" t="s">
        <v>0</v>
      </c>
      <c r="C4" s="1077" t="s">
        <v>1</v>
      </c>
      <c r="D4" s="1077"/>
      <c r="E4" s="1077"/>
      <c r="F4" s="1077"/>
      <c r="G4" s="1077" t="s">
        <v>2</v>
      </c>
      <c r="H4" s="1077"/>
      <c r="I4" s="1077"/>
      <c r="J4" s="1077"/>
      <c r="K4" s="1077" t="s">
        <v>3</v>
      </c>
      <c r="L4" s="1077"/>
      <c r="M4" s="1077"/>
      <c r="N4" s="1077"/>
      <c r="O4" s="1077" t="s">
        <v>4</v>
      </c>
      <c r="P4" s="1077"/>
      <c r="Q4" s="1077"/>
      <c r="R4" s="1077"/>
      <c r="S4" s="1077" t="s">
        <v>5</v>
      </c>
      <c r="T4" s="1077"/>
      <c r="U4" s="1077"/>
      <c r="V4" s="1078"/>
    </row>
    <row r="5" spans="2:27" ht="30.75" customHeight="1" thickTop="1" thickBot="1" x14ac:dyDescent="0.35">
      <c r="B5" s="34" t="s">
        <v>28</v>
      </c>
      <c r="C5" s="603"/>
      <c r="D5" s="209"/>
      <c r="E5" s="209"/>
      <c r="F5" s="604"/>
      <c r="G5" s="208"/>
      <c r="H5" s="209"/>
      <c r="I5" s="209"/>
      <c r="J5" s="210"/>
      <c r="K5" s="5">
        <v>1</v>
      </c>
      <c r="L5" s="3" t="s">
        <v>6</v>
      </c>
      <c r="M5" s="3" t="s">
        <v>7</v>
      </c>
      <c r="N5" s="6" t="s">
        <v>8</v>
      </c>
      <c r="O5" s="5">
        <f>K5+1</f>
        <v>2</v>
      </c>
      <c r="P5" s="3" t="s">
        <v>6</v>
      </c>
      <c r="Q5" s="3" t="s">
        <v>7</v>
      </c>
      <c r="R5" s="6" t="s">
        <v>8</v>
      </c>
      <c r="S5" s="5">
        <f>O5+1</f>
        <v>3</v>
      </c>
      <c r="T5" s="3" t="s">
        <v>6</v>
      </c>
      <c r="U5" s="3" t="s">
        <v>7</v>
      </c>
      <c r="V5" s="16" t="s">
        <v>8</v>
      </c>
    </row>
    <row r="6" spans="2:27" ht="30.75" customHeight="1" thickTop="1" x14ac:dyDescent="0.3">
      <c r="B6" s="1085" t="s">
        <v>9</v>
      </c>
      <c r="C6" s="241"/>
      <c r="D6" s="213"/>
      <c r="E6" s="214"/>
      <c r="F6" s="242"/>
      <c r="G6" s="212"/>
      <c r="H6" s="213"/>
      <c r="I6" s="214"/>
      <c r="J6" s="215"/>
      <c r="K6" s="40">
        <v>0.39583333333333331</v>
      </c>
      <c r="L6" s="37" t="s">
        <v>80</v>
      </c>
      <c r="M6" s="38"/>
      <c r="N6" s="41"/>
      <c r="O6" s="40">
        <v>0.39583333333333331</v>
      </c>
      <c r="P6" s="37" t="s">
        <v>20</v>
      </c>
      <c r="Q6" s="38"/>
      <c r="R6" s="41"/>
      <c r="S6" s="40">
        <v>0.40277777777777779</v>
      </c>
      <c r="T6" s="37" t="s">
        <v>22</v>
      </c>
      <c r="U6" s="38"/>
      <c r="V6" s="43"/>
    </row>
    <row r="7" spans="2:27" ht="30.75" customHeight="1" x14ac:dyDescent="0.3">
      <c r="B7" s="1085"/>
      <c r="C7" s="243"/>
      <c r="D7" s="218"/>
      <c r="E7" s="219"/>
      <c r="F7" s="244"/>
      <c r="G7" s="221"/>
      <c r="H7" s="218"/>
      <c r="I7" s="219"/>
      <c r="J7" s="220"/>
      <c r="K7" s="50">
        <v>0.45833333333333331</v>
      </c>
      <c r="L7" s="45" t="s">
        <v>79</v>
      </c>
      <c r="M7" s="46"/>
      <c r="N7" s="49"/>
      <c r="O7" s="833">
        <v>0.4861111111111111</v>
      </c>
      <c r="P7" s="834" t="s">
        <v>456</v>
      </c>
      <c r="Q7" s="835"/>
      <c r="R7" s="836"/>
      <c r="S7" s="50">
        <v>0.46527777777777779</v>
      </c>
      <c r="T7" s="45" t="s">
        <v>438</v>
      </c>
      <c r="U7" s="46"/>
      <c r="V7" s="52"/>
    </row>
    <row r="8" spans="2:27" ht="30.75" customHeight="1" x14ac:dyDescent="0.3">
      <c r="B8" s="1085"/>
      <c r="C8" s="245"/>
      <c r="D8" s="224"/>
      <c r="E8" s="225"/>
      <c r="F8" s="246"/>
      <c r="G8" s="223"/>
      <c r="H8" s="224"/>
      <c r="I8" s="225"/>
      <c r="J8" s="226"/>
      <c r="K8" s="57"/>
      <c r="L8" s="54"/>
      <c r="M8" s="55"/>
      <c r="N8" s="58"/>
      <c r="O8" s="819">
        <v>0.58333333333333337</v>
      </c>
      <c r="P8" s="820" t="s">
        <v>355</v>
      </c>
      <c r="Q8" s="821"/>
      <c r="R8" s="822"/>
      <c r="S8" s="57"/>
      <c r="T8" s="54"/>
      <c r="U8" s="55"/>
      <c r="V8" s="60"/>
    </row>
    <row r="9" spans="2:27" ht="42" customHeight="1" x14ac:dyDescent="0.3">
      <c r="B9" s="1086"/>
      <c r="C9" s="1124"/>
      <c r="D9" s="1122"/>
      <c r="E9" s="1122"/>
      <c r="F9" s="1123"/>
      <c r="G9" s="1121"/>
      <c r="H9" s="1122"/>
      <c r="I9" s="1122"/>
      <c r="J9" s="1123"/>
      <c r="K9" s="1234" t="s">
        <v>450</v>
      </c>
      <c r="L9" s="1216"/>
      <c r="M9" s="1216"/>
      <c r="N9" s="1217"/>
      <c r="O9" s="1221" t="s">
        <v>464</v>
      </c>
      <c r="P9" s="1222"/>
      <c r="Q9" s="1222"/>
      <c r="R9" s="1224"/>
      <c r="S9" s="1215"/>
      <c r="T9" s="1216"/>
      <c r="U9" s="1216"/>
      <c r="V9" s="1216"/>
    </row>
    <row r="10" spans="2:27" ht="30.75" customHeight="1" x14ac:dyDescent="0.3">
      <c r="B10" s="1087" t="s">
        <v>12</v>
      </c>
      <c r="C10" s="199"/>
      <c r="D10" s="200"/>
      <c r="E10" s="201"/>
      <c r="F10" s="202"/>
      <c r="G10" s="228"/>
      <c r="H10" s="200"/>
      <c r="I10" s="201"/>
      <c r="J10" s="229"/>
      <c r="K10" s="65"/>
      <c r="L10" s="63"/>
      <c r="M10" s="64"/>
      <c r="N10" s="66"/>
      <c r="O10" s="65">
        <v>0.39583333333333331</v>
      </c>
      <c r="P10" s="63" t="s">
        <v>466</v>
      </c>
      <c r="Q10" s="64"/>
      <c r="R10" s="66"/>
      <c r="S10" s="65">
        <v>0.39583333333333331</v>
      </c>
      <c r="T10" s="63" t="s">
        <v>449</v>
      </c>
      <c r="U10" s="64"/>
      <c r="V10" s="67"/>
    </row>
    <row r="11" spans="2:27" ht="30.75" customHeight="1" x14ac:dyDescent="0.3">
      <c r="B11" s="1088"/>
      <c r="C11" s="203"/>
      <c r="D11" s="204"/>
      <c r="E11" s="205"/>
      <c r="F11" s="206"/>
      <c r="G11" s="231"/>
      <c r="H11" s="204"/>
      <c r="I11" s="205"/>
      <c r="J11" s="232"/>
      <c r="K11" s="72"/>
      <c r="L11" s="70"/>
      <c r="M11" s="71"/>
      <c r="N11" s="73"/>
      <c r="O11" s="72">
        <v>0.45833333333333331</v>
      </c>
      <c r="P11" s="70" t="s">
        <v>95</v>
      </c>
      <c r="Q11" s="71"/>
      <c r="R11" s="73"/>
      <c r="S11" s="72"/>
      <c r="T11" s="70"/>
      <c r="U11" s="71"/>
      <c r="V11" s="74"/>
    </row>
    <row r="12" spans="2:27" ht="30.75" customHeight="1" thickBot="1" x14ac:dyDescent="0.35">
      <c r="B12" s="18" t="s">
        <v>13</v>
      </c>
      <c r="C12" s="247"/>
      <c r="D12" s="235"/>
      <c r="E12" s="236"/>
      <c r="F12" s="248"/>
      <c r="G12" s="714"/>
      <c r="H12" s="460"/>
      <c r="I12" s="461"/>
      <c r="J12" s="715"/>
      <c r="K12" s="13"/>
      <c r="L12" s="11"/>
      <c r="M12" s="12"/>
      <c r="N12" s="14"/>
      <c r="O12" s="13"/>
      <c r="P12" s="11"/>
      <c r="Q12" s="12"/>
      <c r="R12" s="14"/>
      <c r="S12" s="15"/>
      <c r="T12" s="11"/>
      <c r="U12" s="12"/>
      <c r="V12" s="17"/>
    </row>
    <row r="13" spans="2:27" ht="30.75" customHeight="1" thickBot="1" x14ac:dyDescent="0.35">
      <c r="B13" s="35" t="s">
        <v>29</v>
      </c>
      <c r="C13" s="2">
        <f>S5+3</f>
        <v>6</v>
      </c>
      <c r="D13" s="3" t="s">
        <v>6</v>
      </c>
      <c r="E13" s="3" t="s">
        <v>7</v>
      </c>
      <c r="F13" s="712" t="s">
        <v>8</v>
      </c>
      <c r="G13" s="799">
        <f>C13+1</f>
        <v>7</v>
      </c>
      <c r="H13" s="800" t="s">
        <v>6</v>
      </c>
      <c r="I13" s="800" t="s">
        <v>7</v>
      </c>
      <c r="J13" s="801" t="s">
        <v>8</v>
      </c>
      <c r="K13" s="300">
        <f>G13+1</f>
        <v>8</v>
      </c>
      <c r="L13" s="3" t="s">
        <v>6</v>
      </c>
      <c r="M13" s="3" t="s">
        <v>7</v>
      </c>
      <c r="N13" s="6" t="s">
        <v>8</v>
      </c>
      <c r="O13" s="5">
        <f>K13+1</f>
        <v>9</v>
      </c>
      <c r="P13" s="3" t="s">
        <v>6</v>
      </c>
      <c r="Q13" s="3" t="s">
        <v>7</v>
      </c>
      <c r="R13" s="6" t="s">
        <v>8</v>
      </c>
      <c r="S13" s="5">
        <f>O13+1</f>
        <v>10</v>
      </c>
      <c r="T13" s="3" t="s">
        <v>6</v>
      </c>
      <c r="U13" s="3" t="s">
        <v>7</v>
      </c>
      <c r="V13" s="16" t="s">
        <v>8</v>
      </c>
    </row>
    <row r="14" spans="2:27" ht="30.75" customHeight="1" thickTop="1" x14ac:dyDescent="0.3">
      <c r="B14" s="1085" t="s">
        <v>9</v>
      </c>
      <c r="C14" s="36">
        <v>0.375</v>
      </c>
      <c r="D14" s="37" t="s">
        <v>352</v>
      </c>
      <c r="E14" s="38"/>
      <c r="F14" s="449"/>
      <c r="G14" s="802">
        <v>0.40277777777777779</v>
      </c>
      <c r="H14" s="37" t="s">
        <v>171</v>
      </c>
      <c r="I14" s="38"/>
      <c r="J14" s="803"/>
      <c r="K14" s="831">
        <v>0.39583333333333331</v>
      </c>
      <c r="L14" s="824" t="s">
        <v>452</v>
      </c>
      <c r="M14" s="825"/>
      <c r="N14" s="832"/>
      <c r="O14" s="40">
        <v>0.39583333333333331</v>
      </c>
      <c r="P14" s="37" t="s">
        <v>123</v>
      </c>
      <c r="Q14" s="38"/>
      <c r="R14" s="41"/>
      <c r="S14" s="40">
        <v>0.39583333333333331</v>
      </c>
      <c r="T14" s="37" t="s">
        <v>454</v>
      </c>
      <c r="U14" s="38"/>
      <c r="V14" s="43"/>
      <c r="X14" s="207"/>
      <c r="Y14" s="207"/>
      <c r="Z14" s="207"/>
      <c r="AA14" s="207"/>
    </row>
    <row r="15" spans="2:27" ht="30.75" customHeight="1" x14ac:dyDescent="0.3">
      <c r="B15" s="1085"/>
      <c r="C15" s="240">
        <v>0.46527777777777779</v>
      </c>
      <c r="D15" s="45" t="s">
        <v>467</v>
      </c>
      <c r="E15" s="46"/>
      <c r="F15" s="450"/>
      <c r="G15" s="804"/>
      <c r="H15" s="45"/>
      <c r="I15" s="46"/>
      <c r="J15" s="805"/>
      <c r="K15" s="301">
        <v>0.46527777777777779</v>
      </c>
      <c r="L15" s="45" t="s">
        <v>453</v>
      </c>
      <c r="M15" s="46"/>
      <c r="N15" s="49"/>
      <c r="O15" s="50">
        <v>0.46527777777777779</v>
      </c>
      <c r="P15" s="45" t="s">
        <v>459</v>
      </c>
      <c r="Q15" s="46"/>
      <c r="R15" s="49"/>
      <c r="S15" s="48"/>
      <c r="T15" s="45"/>
      <c r="U15" s="46"/>
      <c r="V15" s="52"/>
      <c r="X15" s="207"/>
      <c r="Y15" s="207"/>
      <c r="Z15" s="207"/>
      <c r="AA15" s="207"/>
    </row>
    <row r="16" spans="2:27" ht="30.75" customHeight="1" x14ac:dyDescent="0.3">
      <c r="B16" s="1085"/>
      <c r="C16" s="53"/>
      <c r="D16" s="845" t="s">
        <v>478</v>
      </c>
      <c r="E16" s="55"/>
      <c r="F16" s="713"/>
      <c r="G16" s="806"/>
      <c r="H16" s="54"/>
      <c r="I16" s="55"/>
      <c r="J16" s="807"/>
      <c r="K16" s="324"/>
      <c r="L16" s="54"/>
      <c r="M16" s="55"/>
      <c r="N16" s="58"/>
      <c r="O16" s="258">
        <v>0.58333333333333337</v>
      </c>
      <c r="P16" s="54" t="s">
        <v>481</v>
      </c>
      <c r="Q16" s="55"/>
      <c r="R16" s="58"/>
      <c r="S16" s="57"/>
      <c r="T16" s="54"/>
      <c r="U16" s="55"/>
      <c r="V16" s="60"/>
      <c r="X16" s="207"/>
      <c r="Y16" s="207"/>
      <c r="Z16" s="207"/>
      <c r="AA16" s="207"/>
    </row>
    <row r="17" spans="2:27" ht="42" customHeight="1" x14ac:dyDescent="0.3">
      <c r="B17" s="1086"/>
      <c r="C17" s="1225" t="s">
        <v>471</v>
      </c>
      <c r="D17" s="1222"/>
      <c r="E17" s="1222"/>
      <c r="F17" s="1222"/>
      <c r="G17" s="1231" t="s">
        <v>476</v>
      </c>
      <c r="H17" s="1232"/>
      <c r="I17" s="1232"/>
      <c r="J17" s="1233"/>
      <c r="K17" s="1222" t="s">
        <v>451</v>
      </c>
      <c r="L17" s="1222"/>
      <c r="M17" s="1222"/>
      <c r="N17" s="1224"/>
      <c r="O17" s="1215"/>
      <c r="P17" s="1216"/>
      <c r="Q17" s="1216"/>
      <c r="R17" s="1217"/>
      <c r="S17" s="1221" t="s">
        <v>448</v>
      </c>
      <c r="T17" s="1222"/>
      <c r="U17" s="1222"/>
      <c r="V17" s="1222"/>
      <c r="X17" s="207"/>
      <c r="Y17" s="207"/>
      <c r="Z17" s="207"/>
      <c r="AA17" s="207"/>
    </row>
    <row r="18" spans="2:27" ht="30.75" customHeight="1" x14ac:dyDescent="0.3">
      <c r="B18" s="1079" t="s">
        <v>12</v>
      </c>
      <c r="C18" s="62">
        <v>0.39583333333333331</v>
      </c>
      <c r="D18" s="63" t="s">
        <v>369</v>
      </c>
      <c r="E18" s="64"/>
      <c r="F18" s="440"/>
      <c r="G18" s="808">
        <v>0.375</v>
      </c>
      <c r="H18" s="63" t="s">
        <v>447</v>
      </c>
      <c r="I18" s="78"/>
      <c r="J18" s="837"/>
      <c r="K18" s="302">
        <v>0.40277777777777779</v>
      </c>
      <c r="L18" s="63" t="s">
        <v>266</v>
      </c>
      <c r="M18" s="64"/>
      <c r="N18" s="66"/>
      <c r="O18" s="65">
        <v>0.40277777777777779</v>
      </c>
      <c r="P18" s="63" t="s">
        <v>265</v>
      </c>
      <c r="Q18" s="64"/>
      <c r="R18" s="66"/>
      <c r="S18" s="65">
        <v>0.40277777777777779</v>
      </c>
      <c r="T18" s="63" t="s">
        <v>216</v>
      </c>
      <c r="U18" s="64"/>
      <c r="V18" s="67"/>
      <c r="X18" s="207"/>
      <c r="Y18" s="207"/>
      <c r="Z18" s="207"/>
      <c r="AA18" s="207"/>
    </row>
    <row r="19" spans="2:27" ht="30.75" customHeight="1" x14ac:dyDescent="0.3">
      <c r="B19" s="1080"/>
      <c r="C19" s="69">
        <v>0.45833333333333331</v>
      </c>
      <c r="D19" s="70" t="s">
        <v>455</v>
      </c>
      <c r="E19" s="71"/>
      <c r="F19" s="441"/>
      <c r="G19" s="842">
        <v>0.4375</v>
      </c>
      <c r="H19" s="70" t="s">
        <v>51</v>
      </c>
      <c r="I19" s="843"/>
      <c r="J19" s="844"/>
      <c r="K19" s="303"/>
      <c r="L19" s="70"/>
      <c r="M19" s="71"/>
      <c r="N19" s="73"/>
      <c r="O19" s="72"/>
      <c r="P19" s="70"/>
      <c r="Q19" s="71"/>
      <c r="R19" s="73"/>
      <c r="S19" s="72">
        <v>0.45833333333333331</v>
      </c>
      <c r="T19" s="70" t="s">
        <v>465</v>
      </c>
      <c r="U19" s="71"/>
      <c r="V19" s="74"/>
      <c r="X19" s="207"/>
      <c r="Y19" s="207"/>
      <c r="Z19" s="207"/>
      <c r="AA19" s="207"/>
    </row>
    <row r="20" spans="2:27" ht="30.75" customHeight="1" x14ac:dyDescent="0.3">
      <c r="B20" s="9" t="s">
        <v>13</v>
      </c>
      <c r="C20" s="10"/>
      <c r="D20" s="11"/>
      <c r="E20" s="12"/>
      <c r="F20" s="299"/>
      <c r="G20" s="809"/>
      <c r="H20" s="11"/>
      <c r="I20" s="12"/>
      <c r="J20" s="810"/>
      <c r="K20" s="304"/>
      <c r="L20" s="11"/>
      <c r="M20" s="12"/>
      <c r="N20" s="14"/>
      <c r="O20" s="13"/>
      <c r="P20" s="11"/>
      <c r="Q20" s="12"/>
      <c r="R20" s="14"/>
      <c r="S20" s="15"/>
      <c r="T20" s="11"/>
      <c r="U20" s="12"/>
      <c r="V20" s="17"/>
    </row>
    <row r="21" spans="2:27" ht="30.75" customHeight="1" thickBot="1" x14ac:dyDescent="0.35">
      <c r="B21" s="35" t="s">
        <v>30</v>
      </c>
      <c r="C21" s="2">
        <f>S13+3</f>
        <v>13</v>
      </c>
      <c r="D21" s="3" t="s">
        <v>6</v>
      </c>
      <c r="E21" s="3" t="s">
        <v>7</v>
      </c>
      <c r="F21" s="712" t="s">
        <v>8</v>
      </c>
      <c r="G21" s="811">
        <f>C21+1</f>
        <v>14</v>
      </c>
      <c r="H21" s="3" t="s">
        <v>6</v>
      </c>
      <c r="I21" s="3" t="s">
        <v>7</v>
      </c>
      <c r="J21" s="812" t="s">
        <v>8</v>
      </c>
      <c r="K21" s="300">
        <f>G21+1</f>
        <v>15</v>
      </c>
      <c r="L21" s="3" t="s">
        <v>6</v>
      </c>
      <c r="M21" s="3" t="s">
        <v>7</v>
      </c>
      <c r="N21" s="6" t="s">
        <v>8</v>
      </c>
      <c r="O21" s="5">
        <f>K21+1</f>
        <v>16</v>
      </c>
      <c r="P21" s="3" t="s">
        <v>6</v>
      </c>
      <c r="Q21" s="3" t="s">
        <v>7</v>
      </c>
      <c r="R21" s="6" t="s">
        <v>8</v>
      </c>
      <c r="S21" s="5">
        <f>O21+1</f>
        <v>17</v>
      </c>
      <c r="T21" s="3" t="s">
        <v>6</v>
      </c>
      <c r="U21" s="3" t="s">
        <v>7</v>
      </c>
      <c r="V21" s="16" t="s">
        <v>8</v>
      </c>
    </row>
    <row r="22" spans="2:27" ht="30.75" customHeight="1" thickTop="1" x14ac:dyDescent="0.3">
      <c r="B22" s="1085" t="s">
        <v>9</v>
      </c>
      <c r="C22" s="36">
        <v>0.375</v>
      </c>
      <c r="D22" s="37" t="s">
        <v>351</v>
      </c>
      <c r="E22" s="38"/>
      <c r="F22" s="449"/>
      <c r="G22" s="802">
        <v>0.41666666666666669</v>
      </c>
      <c r="H22" s="37" t="s">
        <v>184</v>
      </c>
      <c r="I22" s="38"/>
      <c r="J22" s="803"/>
      <c r="K22" s="347">
        <v>0.39583333333333331</v>
      </c>
      <c r="L22" s="37" t="s">
        <v>215</v>
      </c>
      <c r="M22" s="38"/>
      <c r="N22" s="41"/>
      <c r="O22" s="40">
        <v>0.375</v>
      </c>
      <c r="P22" s="37" t="s">
        <v>205</v>
      </c>
      <c r="Q22" s="38"/>
      <c r="R22" s="41"/>
      <c r="S22" s="212"/>
      <c r="T22" s="213"/>
      <c r="U22" s="214"/>
      <c r="V22" s="216"/>
    </row>
    <row r="23" spans="2:27" ht="30.75" customHeight="1" x14ac:dyDescent="0.3">
      <c r="B23" s="1085"/>
      <c r="C23" s="827">
        <v>0.4375</v>
      </c>
      <c r="D23" s="828" t="s">
        <v>433</v>
      </c>
      <c r="E23" s="829"/>
      <c r="F23" s="830"/>
      <c r="G23" s="813">
        <v>0.45833333333333331</v>
      </c>
      <c r="H23" s="82" t="s">
        <v>442</v>
      </c>
      <c r="I23" s="798"/>
      <c r="J23" s="814"/>
      <c r="K23" s="301">
        <v>0.4375</v>
      </c>
      <c r="L23" s="45" t="s">
        <v>460</v>
      </c>
      <c r="M23" s="46"/>
      <c r="N23" s="49"/>
      <c r="O23" s="50">
        <v>0.4375</v>
      </c>
      <c r="P23" s="45" t="s">
        <v>50</v>
      </c>
      <c r="Q23" s="46"/>
      <c r="R23" s="49"/>
      <c r="S23" s="221"/>
      <c r="T23" s="218"/>
      <c r="U23" s="219"/>
      <c r="V23" s="222"/>
    </row>
    <row r="24" spans="2:27" ht="30.75" customHeight="1" x14ac:dyDescent="0.3">
      <c r="B24" s="1085"/>
      <c r="C24" s="256">
        <v>0.46875</v>
      </c>
      <c r="D24" s="54" t="s">
        <v>469</v>
      </c>
      <c r="E24" s="55"/>
      <c r="F24" s="713"/>
      <c r="G24" s="806"/>
      <c r="H24" s="54"/>
      <c r="I24" s="55"/>
      <c r="J24" s="807"/>
      <c r="K24" s="324"/>
      <c r="L24" s="54"/>
      <c r="M24" s="55"/>
      <c r="N24" s="58"/>
      <c r="O24" s="57"/>
      <c r="P24" s="54"/>
      <c r="Q24" s="55"/>
      <c r="R24" s="58"/>
      <c r="S24" s="223"/>
      <c r="T24" s="224"/>
      <c r="U24" s="225"/>
      <c r="V24" s="227"/>
    </row>
    <row r="25" spans="2:27" ht="42" customHeight="1" x14ac:dyDescent="0.3">
      <c r="B25" s="1086"/>
      <c r="C25" s="1225" t="s">
        <v>473</v>
      </c>
      <c r="D25" s="1222"/>
      <c r="E25" s="1222"/>
      <c r="F25" s="1222"/>
      <c r="G25" s="1226" t="s">
        <v>472</v>
      </c>
      <c r="H25" s="1227"/>
      <c r="I25" s="1227"/>
      <c r="J25" s="1228"/>
      <c r="K25" s="1229"/>
      <c r="L25" s="1229"/>
      <c r="M25" s="1229"/>
      <c r="N25" s="1230"/>
      <c r="O25" s="1223" t="s">
        <v>482</v>
      </c>
      <c r="P25" s="1222"/>
      <c r="Q25" s="1222"/>
      <c r="R25" s="1224"/>
      <c r="S25" s="1121"/>
      <c r="T25" s="1122"/>
      <c r="U25" s="1122"/>
      <c r="V25" s="1122"/>
    </row>
    <row r="26" spans="2:27" ht="30.75" customHeight="1" x14ac:dyDescent="0.3">
      <c r="B26" s="1079" t="s">
        <v>12</v>
      </c>
      <c r="C26" s="62">
        <v>0.375</v>
      </c>
      <c r="D26" s="63" t="s">
        <v>380</v>
      </c>
      <c r="E26" s="64"/>
      <c r="F26" s="440"/>
      <c r="G26" s="808">
        <v>0.375</v>
      </c>
      <c r="H26" s="63" t="s">
        <v>384</v>
      </c>
      <c r="I26" s="64"/>
      <c r="J26" s="66"/>
      <c r="K26" s="302">
        <v>0.40277777777777779</v>
      </c>
      <c r="L26" s="63" t="s">
        <v>241</v>
      </c>
      <c r="M26" s="64"/>
      <c r="N26" s="66"/>
      <c r="O26" s="65">
        <v>0.39583333333333331</v>
      </c>
      <c r="P26" s="63" t="s">
        <v>311</v>
      </c>
      <c r="Q26" s="64"/>
      <c r="R26" s="66"/>
      <c r="S26" s="228"/>
      <c r="T26" s="200"/>
      <c r="U26" s="201"/>
      <c r="V26" s="230"/>
    </row>
    <row r="27" spans="2:27" ht="30.75" customHeight="1" thickBot="1" x14ac:dyDescent="0.35">
      <c r="B27" s="1080"/>
      <c r="C27" s="69">
        <v>0.41666666666666669</v>
      </c>
      <c r="D27" s="70" t="s">
        <v>164</v>
      </c>
      <c r="E27" s="71"/>
      <c r="F27" s="441"/>
      <c r="G27" s="815">
        <v>0.39583333333333331</v>
      </c>
      <c r="H27" s="816" t="s">
        <v>483</v>
      </c>
      <c r="I27" s="817"/>
      <c r="J27" s="818"/>
      <c r="K27" s="303">
        <v>0.625</v>
      </c>
      <c r="L27" s="70" t="s">
        <v>386</v>
      </c>
      <c r="M27" s="71"/>
      <c r="N27" s="73"/>
      <c r="O27" s="846">
        <v>0.4375</v>
      </c>
      <c r="P27" s="847" t="s">
        <v>296</v>
      </c>
      <c r="Q27" s="848"/>
      <c r="R27" s="849"/>
      <c r="S27" s="231"/>
      <c r="T27" s="204"/>
      <c r="U27" s="205"/>
      <c r="V27" s="233"/>
    </row>
    <row r="28" spans="2:27" ht="30.75" customHeight="1" x14ac:dyDescent="0.3">
      <c r="B28" s="9" t="s">
        <v>13</v>
      </c>
      <c r="C28" s="10"/>
      <c r="D28" s="11"/>
      <c r="E28" s="12"/>
      <c r="F28" s="9"/>
      <c r="G28" s="13"/>
      <c r="H28" s="11"/>
      <c r="I28" s="12"/>
      <c r="J28" s="14"/>
      <c r="K28" s="13"/>
      <c r="L28" s="11"/>
      <c r="M28" s="12"/>
      <c r="N28" s="14"/>
      <c r="O28" s="13"/>
      <c r="P28" s="11"/>
      <c r="Q28" s="12"/>
      <c r="R28" s="14"/>
      <c r="S28" s="238"/>
      <c r="T28" s="235"/>
      <c r="U28" s="236"/>
      <c r="V28" s="239"/>
    </row>
    <row r="29" spans="2:27" ht="30.75" customHeight="1" thickBot="1" x14ac:dyDescent="0.35">
      <c r="B29" s="35" t="s">
        <v>31</v>
      </c>
      <c r="C29" s="2">
        <f>S21+3</f>
        <v>20</v>
      </c>
      <c r="D29" s="3" t="s">
        <v>6</v>
      </c>
      <c r="E29" s="3" t="s">
        <v>7</v>
      </c>
      <c r="F29" s="4" t="s">
        <v>8</v>
      </c>
      <c r="G29" s="5">
        <f>C29+1</f>
        <v>21</v>
      </c>
      <c r="H29" s="3" t="s">
        <v>6</v>
      </c>
      <c r="I29" s="3" t="s">
        <v>7</v>
      </c>
      <c r="J29" s="6" t="s">
        <v>8</v>
      </c>
      <c r="K29" s="5">
        <f>G29+1</f>
        <v>22</v>
      </c>
      <c r="L29" s="3" t="s">
        <v>6</v>
      </c>
      <c r="M29" s="3" t="s">
        <v>7</v>
      </c>
      <c r="N29" s="6" t="s">
        <v>8</v>
      </c>
      <c r="O29" s="5">
        <f>K29+1</f>
        <v>23</v>
      </c>
      <c r="P29" s="3" t="s">
        <v>6</v>
      </c>
      <c r="Q29" s="3" t="s">
        <v>7</v>
      </c>
      <c r="R29" s="6" t="s">
        <v>8</v>
      </c>
      <c r="S29" s="5">
        <f>O29+1</f>
        <v>24</v>
      </c>
      <c r="T29" s="3" t="s">
        <v>6</v>
      </c>
      <c r="U29" s="3" t="s">
        <v>7</v>
      </c>
      <c r="V29" s="16" t="s">
        <v>8</v>
      </c>
    </row>
    <row r="30" spans="2:27" ht="30.75" customHeight="1" thickTop="1" x14ac:dyDescent="0.3">
      <c r="B30" s="1085" t="s">
        <v>9</v>
      </c>
      <c r="C30" s="36">
        <v>0.39583333333333331</v>
      </c>
      <c r="D30" s="37" t="s">
        <v>141</v>
      </c>
      <c r="E30" s="38"/>
      <c r="F30" s="39"/>
      <c r="G30" s="40">
        <v>0.39583333333333331</v>
      </c>
      <c r="H30" s="37" t="s">
        <v>149</v>
      </c>
      <c r="I30" s="38"/>
      <c r="J30" s="41"/>
      <c r="K30" s="40">
        <v>0.39583333333333331</v>
      </c>
      <c r="L30" s="37" t="s">
        <v>321</v>
      </c>
      <c r="M30" s="38"/>
      <c r="N30" s="41"/>
      <c r="O30" s="40">
        <v>0.38541666666666669</v>
      </c>
      <c r="P30" s="37" t="s">
        <v>487</v>
      </c>
      <c r="Q30" s="38"/>
      <c r="R30" s="41"/>
      <c r="S30" s="823">
        <v>0.41666666666666669</v>
      </c>
      <c r="T30" s="824" t="s">
        <v>458</v>
      </c>
      <c r="U30" s="825"/>
      <c r="V30" s="826"/>
    </row>
    <row r="31" spans="2:27" ht="30.75" customHeight="1" x14ac:dyDescent="0.3">
      <c r="B31" s="1085"/>
      <c r="C31" s="44"/>
      <c r="D31" s="45"/>
      <c r="E31" s="46"/>
      <c r="F31" s="47"/>
      <c r="G31" s="48"/>
      <c r="H31" s="45"/>
      <c r="I31" s="46"/>
      <c r="J31" s="49"/>
      <c r="K31" s="50"/>
      <c r="L31" s="45"/>
      <c r="M31" s="46"/>
      <c r="N31" s="49"/>
      <c r="O31" s="50">
        <v>0.4375</v>
      </c>
      <c r="P31" s="45" t="s">
        <v>236</v>
      </c>
      <c r="Q31" s="46"/>
      <c r="R31" s="49"/>
      <c r="S31" s="48"/>
      <c r="T31" s="45"/>
      <c r="U31" s="46"/>
      <c r="V31" s="52"/>
    </row>
    <row r="32" spans="2:27" ht="30.75" customHeight="1" x14ac:dyDescent="0.3">
      <c r="B32" s="1085"/>
      <c r="C32" s="53"/>
      <c r="D32" s="54"/>
      <c r="E32" s="55"/>
      <c r="F32" s="56"/>
      <c r="G32" s="57"/>
      <c r="H32" s="54"/>
      <c r="I32" s="55"/>
      <c r="J32" s="58"/>
      <c r="K32" s="57"/>
      <c r="L32" s="54"/>
      <c r="M32" s="55"/>
      <c r="N32" s="58"/>
      <c r="O32" s="57"/>
      <c r="P32" s="54"/>
      <c r="Q32" s="55"/>
      <c r="R32" s="58"/>
      <c r="S32" s="57"/>
      <c r="T32" s="54"/>
      <c r="U32" s="55"/>
      <c r="V32" s="60"/>
    </row>
    <row r="33" spans="2:22" ht="42" customHeight="1" x14ac:dyDescent="0.3">
      <c r="B33" s="1086"/>
      <c r="C33" s="1206" t="s">
        <v>484</v>
      </c>
      <c r="D33" s="1207"/>
      <c r="E33" s="1207"/>
      <c r="F33" s="1214"/>
      <c r="G33" s="1208" t="s">
        <v>485</v>
      </c>
      <c r="H33" s="1209"/>
      <c r="I33" s="1209"/>
      <c r="J33" s="1210"/>
      <c r="K33" s="1215"/>
      <c r="L33" s="1216"/>
      <c r="M33" s="1216"/>
      <c r="N33" s="1217"/>
      <c r="O33" s="1218" t="s">
        <v>490</v>
      </c>
      <c r="P33" s="1219"/>
      <c r="Q33" s="1219"/>
      <c r="R33" s="1220"/>
      <c r="S33" s="1221" t="s">
        <v>470</v>
      </c>
      <c r="T33" s="1222"/>
      <c r="U33" s="1222"/>
      <c r="V33" s="1222"/>
    </row>
    <row r="34" spans="2:22" ht="30.75" customHeight="1" x14ac:dyDescent="0.3">
      <c r="B34" s="1079" t="s">
        <v>12</v>
      </c>
      <c r="C34" s="850">
        <v>0.39583333333333331</v>
      </c>
      <c r="D34" s="851" t="s">
        <v>475</v>
      </c>
      <c r="E34" s="852"/>
      <c r="F34" s="853"/>
      <c r="G34" s="65">
        <v>0.39583333333333331</v>
      </c>
      <c r="H34" s="63" t="s">
        <v>474</v>
      </c>
      <c r="I34" s="64"/>
      <c r="J34" s="66"/>
      <c r="K34" s="302">
        <v>0.41666666666666669</v>
      </c>
      <c r="L34" s="63" t="s">
        <v>461</v>
      </c>
      <c r="M34" s="64"/>
      <c r="N34" s="66"/>
      <c r="O34" s="65">
        <v>0.39583333333333331</v>
      </c>
      <c r="P34" s="63" t="s">
        <v>153</v>
      </c>
      <c r="Q34" s="64"/>
      <c r="R34" s="66"/>
      <c r="S34" s="65">
        <v>0.39583333333333331</v>
      </c>
      <c r="T34" s="63" t="s">
        <v>445</v>
      </c>
      <c r="U34" s="64"/>
      <c r="V34" s="67"/>
    </row>
    <row r="35" spans="2:22" ht="30.75" customHeight="1" x14ac:dyDescent="0.3">
      <c r="B35" s="1080"/>
      <c r="C35" s="69">
        <v>0.41666666666666669</v>
      </c>
      <c r="D35" s="70" t="s">
        <v>46</v>
      </c>
      <c r="E35" s="71"/>
      <c r="F35" s="68"/>
      <c r="G35" s="72">
        <v>0.45833333333333331</v>
      </c>
      <c r="H35" s="70" t="s">
        <v>489</v>
      </c>
      <c r="I35" s="71"/>
      <c r="J35" s="73"/>
      <c r="K35" s="72"/>
      <c r="L35" s="70"/>
      <c r="M35" s="71"/>
      <c r="N35" s="73"/>
      <c r="O35" s="72"/>
      <c r="P35" s="70"/>
      <c r="Q35" s="71"/>
      <c r="R35" s="73"/>
      <c r="S35" s="72"/>
      <c r="T35" s="70"/>
      <c r="U35" s="71"/>
      <c r="V35" s="74"/>
    </row>
    <row r="36" spans="2:22" ht="30.75" customHeight="1" x14ac:dyDescent="0.3">
      <c r="B36" s="9" t="s">
        <v>13</v>
      </c>
      <c r="C36" s="10"/>
      <c r="D36" s="11"/>
      <c r="E36" s="12"/>
      <c r="F36" s="9"/>
      <c r="G36" s="13"/>
      <c r="H36" s="11"/>
      <c r="I36" s="12"/>
      <c r="J36" s="14"/>
      <c r="K36" s="13"/>
      <c r="L36" s="11"/>
      <c r="M36" s="12"/>
      <c r="N36" s="14"/>
      <c r="O36" s="13"/>
      <c r="P36" s="11"/>
      <c r="Q36" s="12"/>
      <c r="R36" s="14"/>
      <c r="S36" s="15"/>
      <c r="T36" s="11"/>
      <c r="U36" s="12"/>
      <c r="V36" s="17"/>
    </row>
    <row r="37" spans="2:22" ht="30.75" customHeight="1" thickBot="1" x14ac:dyDescent="0.35">
      <c r="B37" s="35" t="s">
        <v>32</v>
      </c>
      <c r="C37" s="2">
        <f>S29+3</f>
        <v>27</v>
      </c>
      <c r="D37" s="3" t="s">
        <v>6</v>
      </c>
      <c r="E37" s="3" t="s">
        <v>7</v>
      </c>
      <c r="F37" s="4" t="s">
        <v>8</v>
      </c>
      <c r="G37" s="5">
        <f>C37+1</f>
        <v>28</v>
      </c>
      <c r="H37" s="3" t="s">
        <v>6</v>
      </c>
      <c r="I37" s="3" t="s">
        <v>7</v>
      </c>
      <c r="J37" s="6" t="s">
        <v>8</v>
      </c>
      <c r="K37" s="5">
        <f>G37+1</f>
        <v>29</v>
      </c>
      <c r="L37" s="3" t="s">
        <v>6</v>
      </c>
      <c r="M37" s="3" t="s">
        <v>7</v>
      </c>
      <c r="N37" s="6" t="s">
        <v>8</v>
      </c>
      <c r="O37" s="5">
        <f>K37+1</f>
        <v>30</v>
      </c>
      <c r="P37" s="3" t="s">
        <v>6</v>
      </c>
      <c r="Q37" s="3" t="s">
        <v>7</v>
      </c>
      <c r="R37" s="6" t="s">
        <v>8</v>
      </c>
      <c r="S37" s="5">
        <f>O37+1</f>
        <v>31</v>
      </c>
      <c r="T37" s="3" t="s">
        <v>6</v>
      </c>
      <c r="U37" s="3" t="s">
        <v>7</v>
      </c>
      <c r="V37" s="16" t="s">
        <v>8</v>
      </c>
    </row>
    <row r="38" spans="2:22" ht="30.75" customHeight="1" thickTop="1" x14ac:dyDescent="0.3">
      <c r="B38" s="1085" t="s">
        <v>9</v>
      </c>
      <c r="C38" s="838">
        <v>0.39583333333333331</v>
      </c>
      <c r="D38" s="839" t="s">
        <v>462</v>
      </c>
      <c r="E38" s="840"/>
      <c r="F38" s="841"/>
      <c r="G38" s="40"/>
      <c r="H38" s="37"/>
      <c r="I38" s="38"/>
      <c r="J38" s="41"/>
      <c r="K38" s="40">
        <v>0.375</v>
      </c>
      <c r="L38" s="37" t="s">
        <v>47</v>
      </c>
      <c r="M38" s="38"/>
      <c r="N38" s="41"/>
      <c r="O38" s="1211" t="s">
        <v>457</v>
      </c>
      <c r="P38" s="1212"/>
      <c r="Q38" s="1212"/>
      <c r="R38" s="1213"/>
      <c r="S38" s="40"/>
      <c r="T38" s="37"/>
      <c r="U38" s="38"/>
      <c r="V38" s="43"/>
    </row>
    <row r="39" spans="2:22" ht="30.75" customHeight="1" x14ac:dyDescent="0.3">
      <c r="B39" s="1085"/>
      <c r="C39" s="44"/>
      <c r="D39" s="45"/>
      <c r="E39" s="46"/>
      <c r="F39" s="47"/>
      <c r="G39" s="48"/>
      <c r="H39" s="45"/>
      <c r="I39" s="46"/>
      <c r="J39" s="49"/>
      <c r="K39" s="48"/>
      <c r="L39" s="45"/>
      <c r="M39" s="46"/>
      <c r="N39" s="49"/>
      <c r="O39" s="48"/>
      <c r="P39" s="45"/>
      <c r="Q39" s="46"/>
      <c r="R39" s="49"/>
      <c r="S39" s="48"/>
      <c r="T39" s="45"/>
      <c r="U39" s="46"/>
      <c r="V39" s="52"/>
    </row>
    <row r="40" spans="2:22" ht="30.75" customHeight="1" x14ac:dyDescent="0.3">
      <c r="B40" s="1085"/>
      <c r="C40" s="53"/>
      <c r="D40" s="54"/>
      <c r="E40" s="55"/>
      <c r="F40" s="56"/>
      <c r="G40" s="57"/>
      <c r="H40" s="54"/>
      <c r="I40" s="55"/>
      <c r="J40" s="58"/>
      <c r="K40" s="57"/>
      <c r="L40" s="54"/>
      <c r="M40" s="55"/>
      <c r="N40" s="58"/>
      <c r="O40" s="57"/>
      <c r="P40" s="54"/>
      <c r="Q40" s="55"/>
      <c r="R40" s="58"/>
      <c r="S40" s="57"/>
      <c r="T40" s="54"/>
      <c r="U40" s="55"/>
      <c r="V40" s="60"/>
    </row>
    <row r="41" spans="2:22" ht="42" customHeight="1" x14ac:dyDescent="0.3">
      <c r="B41" s="1086"/>
      <c r="C41" s="1208" t="s">
        <v>488</v>
      </c>
      <c r="D41" s="1209"/>
      <c r="E41" s="1209"/>
      <c r="F41" s="1210"/>
      <c r="G41" s="1102"/>
      <c r="H41" s="1103"/>
      <c r="I41" s="1103"/>
      <c r="J41" s="1109"/>
      <c r="K41" s="1102"/>
      <c r="L41" s="1103"/>
      <c r="M41" s="1103"/>
      <c r="N41" s="1109"/>
      <c r="O41" s="1102"/>
      <c r="P41" s="1103"/>
      <c r="Q41" s="1103"/>
      <c r="R41" s="1109"/>
      <c r="S41" s="1206" t="s">
        <v>496</v>
      </c>
      <c r="T41" s="1207"/>
      <c r="U41" s="1207"/>
      <c r="V41" s="1207"/>
    </row>
    <row r="42" spans="2:22" ht="30.75" customHeight="1" x14ac:dyDescent="0.3">
      <c r="B42" s="1079" t="s">
        <v>12</v>
      </c>
      <c r="C42" s="62">
        <v>0.375</v>
      </c>
      <c r="D42" s="63" t="s">
        <v>284</v>
      </c>
      <c r="E42" s="64"/>
      <c r="F42" s="61"/>
      <c r="G42" s="65"/>
      <c r="H42" s="63"/>
      <c r="I42" s="64"/>
      <c r="J42" s="66"/>
      <c r="K42" s="65"/>
      <c r="L42" s="63"/>
      <c r="M42" s="64"/>
      <c r="N42" s="66"/>
      <c r="O42" s="65"/>
      <c r="P42" s="63"/>
      <c r="Q42" s="64"/>
      <c r="R42" s="66"/>
      <c r="S42" s="65"/>
      <c r="T42" s="63"/>
      <c r="U42" s="64"/>
      <c r="V42" s="67"/>
    </row>
    <row r="43" spans="2:22" ht="30.75" customHeight="1" x14ac:dyDescent="0.3">
      <c r="B43" s="1080"/>
      <c r="C43" s="69"/>
      <c r="D43" s="70"/>
      <c r="E43" s="71"/>
      <c r="F43" s="68"/>
      <c r="G43" s="72"/>
      <c r="H43" s="70"/>
      <c r="I43" s="71"/>
      <c r="J43" s="73"/>
      <c r="K43" s="72"/>
      <c r="L43" s="70"/>
      <c r="M43" s="71"/>
      <c r="N43" s="73"/>
      <c r="O43" s="72"/>
      <c r="P43" s="70"/>
      <c r="Q43" s="71"/>
      <c r="R43" s="73"/>
      <c r="S43" s="72"/>
      <c r="T43" s="70"/>
      <c r="U43" s="71"/>
      <c r="V43" s="74"/>
    </row>
    <row r="44" spans="2:22" ht="30.75" customHeight="1" x14ac:dyDescent="0.3">
      <c r="B44" s="9" t="s">
        <v>13</v>
      </c>
      <c r="C44" s="10"/>
      <c r="D44" s="11"/>
      <c r="E44" s="12"/>
      <c r="F44" s="9"/>
      <c r="G44" s="13"/>
      <c r="H44" s="11"/>
      <c r="I44" s="12"/>
      <c r="J44" s="14"/>
      <c r="K44" s="13"/>
      <c r="L44" s="11"/>
      <c r="M44" s="12"/>
      <c r="N44" s="14"/>
      <c r="O44" s="13"/>
      <c r="P44" s="11"/>
      <c r="Q44" s="12"/>
      <c r="R44" s="14"/>
      <c r="S44" s="13"/>
      <c r="T44" s="11"/>
      <c r="U44" s="12"/>
      <c r="V44" s="17"/>
    </row>
    <row r="45" spans="2:22" ht="21" customHeight="1" x14ac:dyDescent="0.3">
      <c r="B45" s="207"/>
    </row>
  </sheetData>
  <mergeCells count="41">
    <mergeCell ref="C4:F4"/>
    <mergeCell ref="G4:J4"/>
    <mergeCell ref="K4:N4"/>
    <mergeCell ref="O4:R4"/>
    <mergeCell ref="S4:V4"/>
    <mergeCell ref="S9:V9"/>
    <mergeCell ref="B10:B11"/>
    <mergeCell ref="B14:B17"/>
    <mergeCell ref="C17:F17"/>
    <mergeCell ref="G17:J17"/>
    <mergeCell ref="K17:N17"/>
    <mergeCell ref="O17:R17"/>
    <mergeCell ref="S17:V17"/>
    <mergeCell ref="B6:B9"/>
    <mergeCell ref="C9:F9"/>
    <mergeCell ref="G9:J9"/>
    <mergeCell ref="K9:N9"/>
    <mergeCell ref="O9:R9"/>
    <mergeCell ref="B18:B19"/>
    <mergeCell ref="B22:B25"/>
    <mergeCell ref="C25:F25"/>
    <mergeCell ref="G25:J25"/>
    <mergeCell ref="K25:N25"/>
    <mergeCell ref="S25:V25"/>
    <mergeCell ref="B26:B27"/>
    <mergeCell ref="B30:B33"/>
    <mergeCell ref="C33:F33"/>
    <mergeCell ref="G33:J33"/>
    <mergeCell ref="K33:N33"/>
    <mergeCell ref="O33:R33"/>
    <mergeCell ref="S33:V33"/>
    <mergeCell ref="O25:R25"/>
    <mergeCell ref="S41:V41"/>
    <mergeCell ref="B42:B43"/>
    <mergeCell ref="B34:B35"/>
    <mergeCell ref="B38:B41"/>
    <mergeCell ref="C41:F41"/>
    <mergeCell ref="G41:J41"/>
    <mergeCell ref="K41:N41"/>
    <mergeCell ref="O41:R41"/>
    <mergeCell ref="O38:R38"/>
  </mergeCells>
  <phoneticPr fontId="2" type="noConversion"/>
  <conditionalFormatting sqref="B2:V44">
    <cfRule type="containsText" dxfId="74" priority="1" operator="containsText" text="더베스트">
      <formula>NOT(ISERROR(SEARCH("더베스트",B2)))</formula>
    </cfRule>
  </conditionalFormatting>
  <conditionalFormatting sqref="B4:V44">
    <cfRule type="containsText" dxfId="73" priority="2" operator="containsText" text="현대홈">
      <formula>NOT(ISERROR(SEARCH("현대홈",B4)))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73BD-7822-4860-8380-AE7517F8254D}">
  <sheetPr>
    <tabColor rgb="FF002060"/>
    <pageSetUpPr fitToPage="1"/>
  </sheetPr>
  <dimension ref="A1:Z92"/>
  <sheetViews>
    <sheetView showGridLines="0" topLeftCell="A8" zoomScale="49" zoomScaleNormal="55" workbookViewId="0">
      <selection activeCell="P27" sqref="P27"/>
    </sheetView>
  </sheetViews>
  <sheetFormatPr defaultRowHeight="30.75" customHeight="1" x14ac:dyDescent="0.3"/>
  <cols>
    <col min="1" max="1" width="4.125" style="1" customWidth="1"/>
    <col min="2" max="2" width="14" style="1" customWidth="1"/>
    <col min="3" max="3" width="8.375" style="1" customWidth="1"/>
    <col min="4" max="4" width="25.375" style="1" customWidth="1"/>
    <col min="5" max="6" width="9.125" style="1" customWidth="1"/>
    <col min="7" max="7" width="7.75" style="1" customWidth="1"/>
    <col min="8" max="8" width="25.375" style="1" customWidth="1"/>
    <col min="9" max="10" width="9.125" style="1" customWidth="1"/>
    <col min="11" max="11" width="7.75" style="1" customWidth="1"/>
    <col min="12" max="12" width="25.375" style="1" customWidth="1"/>
    <col min="13" max="14" width="9.125" style="1" customWidth="1"/>
    <col min="15" max="15" width="7.75" style="1" customWidth="1"/>
    <col min="16" max="16" width="25.375" style="1" customWidth="1"/>
    <col min="17" max="18" width="9.125" style="1" customWidth="1"/>
    <col min="19" max="19" width="7.75" style="1" customWidth="1"/>
    <col min="20" max="20" width="25.375" style="1" customWidth="1"/>
    <col min="21" max="22" width="9.125" style="1" customWidth="1"/>
    <col min="23" max="23" width="4.125" style="1" customWidth="1"/>
    <col min="24" max="24" width="9" style="1"/>
    <col min="25" max="25" width="51.25" style="1" customWidth="1"/>
    <col min="26" max="16384" width="9" style="1"/>
  </cols>
  <sheetData>
    <row r="1" spans="1:26" ht="30.75" customHeight="1" x14ac:dyDescent="0.3">
      <c r="A1" s="1" t="s">
        <v>497</v>
      </c>
      <c r="B1" s="207"/>
      <c r="W1" s="1" t="s">
        <v>497</v>
      </c>
    </row>
    <row r="2" spans="1:26" ht="69" customHeight="1" thickBot="1" x14ac:dyDescent="0.35">
      <c r="B2" s="949" t="s">
        <v>332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</row>
    <row r="3" spans="1:26" ht="30.75" customHeight="1" thickTop="1" x14ac:dyDescent="0.3">
      <c r="B3" s="777" t="s">
        <v>625</v>
      </c>
    </row>
    <row r="4" spans="1:26" ht="29.25" customHeight="1" thickBot="1" x14ac:dyDescent="0.35">
      <c r="B4" s="4" t="s">
        <v>0</v>
      </c>
      <c r="C4" s="1077" t="s">
        <v>1</v>
      </c>
      <c r="D4" s="1077"/>
      <c r="E4" s="1077"/>
      <c r="F4" s="1077"/>
      <c r="G4" s="1077" t="s">
        <v>2</v>
      </c>
      <c r="H4" s="1077"/>
      <c r="I4" s="1077"/>
      <c r="J4" s="1077"/>
      <c r="K4" s="1077" t="s">
        <v>3</v>
      </c>
      <c r="L4" s="1077"/>
      <c r="M4" s="1077"/>
      <c r="N4" s="1077"/>
      <c r="O4" s="1077" t="s">
        <v>4</v>
      </c>
      <c r="P4" s="1077"/>
      <c r="Q4" s="1077"/>
      <c r="R4" s="1077"/>
      <c r="S4" s="1077" t="s">
        <v>5</v>
      </c>
      <c r="T4" s="1077"/>
      <c r="U4" s="1077"/>
      <c r="V4" s="1078"/>
      <c r="Y4" s="1" t="s">
        <v>595</v>
      </c>
    </row>
    <row r="5" spans="1:26" ht="37.5" customHeight="1" thickTop="1" thickBot="1" x14ac:dyDescent="0.35">
      <c r="B5" s="34" t="s">
        <v>28</v>
      </c>
      <c r="C5" s="5">
        <v>3</v>
      </c>
      <c r="D5" s="3" t="s">
        <v>6</v>
      </c>
      <c r="E5" s="3" t="s">
        <v>7</v>
      </c>
      <c r="F5" s="6" t="s">
        <v>8</v>
      </c>
      <c r="G5" s="5">
        <f>C5+1</f>
        <v>4</v>
      </c>
      <c r="H5" s="3" t="s">
        <v>6</v>
      </c>
      <c r="I5" s="3" t="s">
        <v>7</v>
      </c>
      <c r="J5" s="6" t="s">
        <v>8</v>
      </c>
      <c r="K5" s="5">
        <f>G5+1</f>
        <v>5</v>
      </c>
      <c r="L5" s="3" t="s">
        <v>6</v>
      </c>
      <c r="M5" s="3" t="s">
        <v>7</v>
      </c>
      <c r="N5" s="6" t="s">
        <v>8</v>
      </c>
      <c r="O5" s="5">
        <f>K5+1</f>
        <v>6</v>
      </c>
      <c r="P5" s="3" t="s">
        <v>6</v>
      </c>
      <c r="Q5" s="3" t="s">
        <v>7</v>
      </c>
      <c r="R5" s="6" t="s">
        <v>8</v>
      </c>
      <c r="S5" s="5">
        <f>O5+1</f>
        <v>7</v>
      </c>
      <c r="T5" s="3" t="s">
        <v>6</v>
      </c>
      <c r="U5" s="3" t="s">
        <v>7</v>
      </c>
      <c r="V5" s="16" t="s">
        <v>8</v>
      </c>
      <c r="Y5" s="931" t="s">
        <v>506</v>
      </c>
      <c r="Z5" s="932">
        <v>1</v>
      </c>
    </row>
    <row r="6" spans="1:26" ht="37.5" customHeight="1" thickTop="1" x14ac:dyDescent="0.3">
      <c r="B6" s="1085" t="s">
        <v>9</v>
      </c>
      <c r="C6" s="40">
        <v>0.375</v>
      </c>
      <c r="D6" s="37" t="s">
        <v>223</v>
      </c>
      <c r="E6" s="38"/>
      <c r="F6" s="41"/>
      <c r="G6" s="40">
        <v>0.39583333333333331</v>
      </c>
      <c r="H6" s="37" t="s">
        <v>216</v>
      </c>
      <c r="I6" s="38"/>
      <c r="J6" s="41"/>
      <c r="K6" s="40">
        <v>0.40277777777777779</v>
      </c>
      <c r="L6" s="37" t="s">
        <v>22</v>
      </c>
      <c r="M6" s="38"/>
      <c r="N6" s="41"/>
      <c r="O6" s="40">
        <v>0.39583333333333331</v>
      </c>
      <c r="P6" s="37" t="s">
        <v>441</v>
      </c>
      <c r="Q6" s="38"/>
      <c r="R6" s="41"/>
      <c r="S6" s="40">
        <v>0.39583333333333331</v>
      </c>
      <c r="T6" s="37" t="s">
        <v>141</v>
      </c>
      <c r="U6" s="38"/>
      <c r="V6" s="43"/>
      <c r="Y6" s="931" t="s">
        <v>507</v>
      </c>
      <c r="Z6" s="932">
        <v>1</v>
      </c>
    </row>
    <row r="7" spans="1:26" ht="37.5" customHeight="1" x14ac:dyDescent="0.3">
      <c r="B7" s="1085"/>
      <c r="C7" s="50"/>
      <c r="D7" s="45"/>
      <c r="E7" s="46"/>
      <c r="F7" s="49"/>
      <c r="G7" s="50">
        <v>0.4375</v>
      </c>
      <c r="H7" s="45" t="s">
        <v>50</v>
      </c>
      <c r="I7" s="46"/>
      <c r="J7" s="49"/>
      <c r="K7" s="50">
        <v>0.4375</v>
      </c>
      <c r="L7" s="45" t="s">
        <v>452</v>
      </c>
      <c r="M7" s="46"/>
      <c r="N7" s="49"/>
      <c r="O7" s="928">
        <v>0.45833333333333331</v>
      </c>
      <c r="P7" s="943" t="s">
        <v>605</v>
      </c>
      <c r="Q7" s="941"/>
      <c r="R7" s="942"/>
      <c r="S7" s="48"/>
      <c r="T7" s="45"/>
      <c r="U7" s="46"/>
      <c r="V7" s="52"/>
      <c r="Y7" s="933" t="s">
        <v>508</v>
      </c>
      <c r="Z7" s="932"/>
    </row>
    <row r="8" spans="1:26" ht="37.5" customHeight="1" x14ac:dyDescent="0.3">
      <c r="B8" s="1085"/>
      <c r="C8" s="57"/>
      <c r="D8" s="54"/>
      <c r="E8" s="55"/>
      <c r="F8" s="58"/>
      <c r="G8" s="57"/>
      <c r="H8" s="54"/>
      <c r="I8" s="55"/>
      <c r="J8" s="58"/>
      <c r="K8" s="966">
        <v>0.54166666666666663</v>
      </c>
      <c r="L8" s="967" t="s">
        <v>618</v>
      </c>
      <c r="M8" s="55"/>
      <c r="N8" s="58"/>
      <c r="O8" s="969">
        <v>0.5625</v>
      </c>
      <c r="P8" s="970" t="s">
        <v>619</v>
      </c>
      <c r="Q8" s="964"/>
      <c r="R8" s="965"/>
      <c r="S8" s="57"/>
      <c r="T8" s="54"/>
      <c r="U8" s="55"/>
      <c r="V8" s="60"/>
      <c r="Y8" s="931" t="s">
        <v>509</v>
      </c>
      <c r="Z8" s="932">
        <v>1</v>
      </c>
    </row>
    <row r="9" spans="1:26" ht="37.5" customHeight="1" x14ac:dyDescent="0.3">
      <c r="B9" s="1086"/>
      <c r="C9" s="1237" t="s">
        <v>613</v>
      </c>
      <c r="D9" s="1189"/>
      <c r="E9" s="1189"/>
      <c r="F9" s="1238"/>
      <c r="G9" s="1241" t="s">
        <v>612</v>
      </c>
      <c r="H9" s="1189"/>
      <c r="I9" s="1189"/>
      <c r="J9" s="1238"/>
      <c r="K9" s="1237" t="s">
        <v>607</v>
      </c>
      <c r="L9" s="1189"/>
      <c r="M9" s="1189"/>
      <c r="N9" s="1238"/>
      <c r="O9" s="1241" t="s">
        <v>486</v>
      </c>
      <c r="P9" s="1189"/>
      <c r="Q9" s="1189"/>
      <c r="R9" s="1238"/>
      <c r="S9" s="1241" t="s">
        <v>614</v>
      </c>
      <c r="T9" s="1189"/>
      <c r="U9" s="1189"/>
      <c r="V9" s="1189"/>
      <c r="Y9" s="931" t="s">
        <v>510</v>
      </c>
      <c r="Z9" s="932">
        <v>1</v>
      </c>
    </row>
    <row r="10" spans="1:26" ht="37.5" customHeight="1" x14ac:dyDescent="0.3">
      <c r="B10" s="1087" t="s">
        <v>12</v>
      </c>
      <c r="C10" s="65">
        <v>0.39583333333333331</v>
      </c>
      <c r="D10" s="63" t="s">
        <v>260</v>
      </c>
      <c r="E10" s="64"/>
      <c r="F10" s="66"/>
      <c r="G10" s="65">
        <v>0.39583333333333331</v>
      </c>
      <c r="H10" s="63" t="s">
        <v>209</v>
      </c>
      <c r="I10" s="64"/>
      <c r="J10" s="66"/>
      <c r="K10" s="65">
        <v>0.39583333333333331</v>
      </c>
      <c r="L10" s="63" t="s">
        <v>494</v>
      </c>
      <c r="M10" s="64"/>
      <c r="N10" s="66"/>
      <c r="O10" s="935">
        <v>0.41666666666666669</v>
      </c>
      <c r="P10" s="936" t="s">
        <v>602</v>
      </c>
      <c r="Q10" s="937"/>
      <c r="R10" s="938"/>
      <c r="S10" s="935">
        <v>0.39583333333333331</v>
      </c>
      <c r="T10" s="936" t="s">
        <v>603</v>
      </c>
      <c r="U10" s="939"/>
      <c r="V10" s="940"/>
      <c r="Y10" s="931" t="s">
        <v>511</v>
      </c>
      <c r="Z10" s="932">
        <v>1</v>
      </c>
    </row>
    <row r="11" spans="1:26" ht="37.5" customHeight="1" thickBot="1" x14ac:dyDescent="0.35">
      <c r="B11" s="1088"/>
      <c r="C11" s="72">
        <v>0.45833333333333331</v>
      </c>
      <c r="D11" s="70" t="s">
        <v>616</v>
      </c>
      <c r="E11" s="71"/>
      <c r="F11" s="73"/>
      <c r="G11" s="72"/>
      <c r="H11" s="70"/>
      <c r="I11" s="71"/>
      <c r="J11" s="73"/>
      <c r="K11" s="952">
        <v>0.58333333333333337</v>
      </c>
      <c r="L11" s="703" t="s">
        <v>95</v>
      </c>
      <c r="M11" s="704"/>
      <c r="N11" s="951"/>
      <c r="O11" s="1274" t="s">
        <v>604</v>
      </c>
      <c r="P11" s="1275"/>
      <c r="Q11" s="1275"/>
      <c r="R11" s="1275"/>
      <c r="S11" s="1275"/>
      <c r="T11" s="1275"/>
      <c r="U11" s="1275"/>
      <c r="V11" s="1275"/>
      <c r="Y11" s="931" t="s">
        <v>512</v>
      </c>
      <c r="Z11" s="932">
        <v>1</v>
      </c>
    </row>
    <row r="12" spans="1:26" ht="37.5" customHeight="1" thickBot="1" x14ac:dyDescent="0.35">
      <c r="B12" s="35" t="s">
        <v>29</v>
      </c>
      <c r="C12" s="2">
        <f>S5+3</f>
        <v>10</v>
      </c>
      <c r="D12" s="3" t="s">
        <v>6</v>
      </c>
      <c r="E12" s="3" t="s">
        <v>7</v>
      </c>
      <c r="F12" s="4" t="s">
        <v>8</v>
      </c>
      <c r="G12" s="5">
        <f>C12+1</f>
        <v>11</v>
      </c>
      <c r="H12" s="3" t="s">
        <v>6</v>
      </c>
      <c r="I12" s="3" t="s">
        <v>7</v>
      </c>
      <c r="J12" s="16" t="s">
        <v>8</v>
      </c>
      <c r="K12" s="799">
        <f>G12+1</f>
        <v>12</v>
      </c>
      <c r="L12" s="800" t="s">
        <v>6</v>
      </c>
      <c r="M12" s="800" t="s">
        <v>7</v>
      </c>
      <c r="N12" s="801" t="s">
        <v>480</v>
      </c>
      <c r="O12" s="300">
        <f>K12+1</f>
        <v>13</v>
      </c>
      <c r="P12" s="3" t="s">
        <v>6</v>
      </c>
      <c r="Q12" s="3" t="s">
        <v>7</v>
      </c>
      <c r="R12" s="6" t="s">
        <v>8</v>
      </c>
      <c r="S12" s="5">
        <f>O12+1</f>
        <v>14</v>
      </c>
      <c r="T12" s="3" t="s">
        <v>6</v>
      </c>
      <c r="U12" s="3" t="s">
        <v>7</v>
      </c>
      <c r="V12" s="16" t="s">
        <v>8</v>
      </c>
      <c r="Y12" s="931" t="s">
        <v>513</v>
      </c>
      <c r="Z12" s="932">
        <v>1</v>
      </c>
    </row>
    <row r="13" spans="1:26" ht="37.5" customHeight="1" thickTop="1" x14ac:dyDescent="0.3">
      <c r="B13" s="1085" t="s">
        <v>9</v>
      </c>
      <c r="C13" s="947"/>
      <c r="D13" s="255" t="s">
        <v>149</v>
      </c>
      <c r="E13" s="434" t="s">
        <v>446</v>
      </c>
      <c r="F13" s="948"/>
      <c r="G13" s="40">
        <v>0.375</v>
      </c>
      <c r="H13" s="37" t="s">
        <v>351</v>
      </c>
      <c r="I13" s="38"/>
      <c r="J13" s="43"/>
      <c r="K13" s="987">
        <v>0.375</v>
      </c>
      <c r="L13" s="338" t="s">
        <v>627</v>
      </c>
      <c r="M13" s="339"/>
      <c r="N13" s="988"/>
      <c r="O13" s="347">
        <v>0.375</v>
      </c>
      <c r="P13" s="37" t="s">
        <v>352</v>
      </c>
      <c r="Q13" s="38"/>
      <c r="R13" s="41"/>
      <c r="S13" s="40">
        <v>0.375</v>
      </c>
      <c r="T13" s="37" t="s">
        <v>479</v>
      </c>
      <c r="U13" s="38"/>
      <c r="V13" s="43"/>
      <c r="Y13" s="931" t="s">
        <v>514</v>
      </c>
      <c r="Z13" s="932">
        <v>1</v>
      </c>
    </row>
    <row r="14" spans="1:26" ht="37.5" customHeight="1" x14ac:dyDescent="0.3">
      <c r="B14" s="1085"/>
      <c r="C14" s="827"/>
      <c r="D14" s="828" t="s">
        <v>623</v>
      </c>
      <c r="E14" s="829"/>
      <c r="F14" s="961"/>
      <c r="G14" s="50">
        <v>0.4375</v>
      </c>
      <c r="H14" s="45" t="s">
        <v>433</v>
      </c>
      <c r="I14" s="46"/>
      <c r="J14" s="52"/>
      <c r="K14" s="989"/>
      <c r="L14" s="828"/>
      <c r="M14" s="829"/>
      <c r="N14" s="990"/>
      <c r="O14" s="976">
        <v>0.4375</v>
      </c>
      <c r="P14" s="977" t="s">
        <v>621</v>
      </c>
      <c r="Q14" s="978"/>
      <c r="R14" s="979"/>
      <c r="S14" s="928">
        <v>0.41666666666666669</v>
      </c>
      <c r="T14" s="945" t="s">
        <v>600</v>
      </c>
      <c r="U14" s="798"/>
      <c r="V14" s="944"/>
      <c r="Y14" s="933" t="s">
        <v>515</v>
      </c>
      <c r="Z14" s="932">
        <v>1</v>
      </c>
    </row>
    <row r="15" spans="1:26" ht="37.5" customHeight="1" x14ac:dyDescent="0.3">
      <c r="B15" s="1085"/>
      <c r="C15" s="975">
        <v>0.58333333333333337</v>
      </c>
      <c r="D15" s="968" t="s">
        <v>235</v>
      </c>
      <c r="E15" s="419"/>
      <c r="F15" s="962"/>
      <c r="G15" s="57"/>
      <c r="H15" s="54"/>
      <c r="I15" s="55"/>
      <c r="J15" s="60"/>
      <c r="K15" s="991"/>
      <c r="L15" s="418"/>
      <c r="M15" s="419"/>
      <c r="N15" s="992"/>
      <c r="O15" s="982">
        <v>0.5</v>
      </c>
      <c r="P15" s="983" t="s">
        <v>624</v>
      </c>
      <c r="Q15" s="964"/>
      <c r="R15" s="965"/>
      <c r="S15" s="258">
        <v>0.65277777777777779</v>
      </c>
      <c r="T15" s="54" t="s">
        <v>601</v>
      </c>
      <c r="U15" s="55"/>
      <c r="V15" s="60"/>
      <c r="Y15" s="931" t="s">
        <v>516</v>
      </c>
      <c r="Z15" s="932">
        <v>1</v>
      </c>
    </row>
    <row r="16" spans="1:26" ht="37.5" customHeight="1" x14ac:dyDescent="0.3">
      <c r="B16" s="1086"/>
      <c r="C16" s="1237"/>
      <c r="D16" s="1266"/>
      <c r="E16" s="1266"/>
      <c r="F16" s="1267"/>
      <c r="G16" s="1268" t="s">
        <v>505</v>
      </c>
      <c r="H16" s="1269"/>
      <c r="I16" s="1269"/>
      <c r="J16" s="1269"/>
      <c r="K16" s="1270" t="s">
        <v>620</v>
      </c>
      <c r="L16" s="1189"/>
      <c r="M16" s="1189"/>
      <c r="N16" s="1271"/>
      <c r="O16" s="1272" t="s">
        <v>611</v>
      </c>
      <c r="P16" s="1272"/>
      <c r="Q16" s="1272"/>
      <c r="R16" s="1273"/>
      <c r="S16" s="1244" t="s">
        <v>609</v>
      </c>
      <c r="T16" s="1245"/>
      <c r="U16" s="1245"/>
      <c r="V16" s="1245"/>
      <c r="Y16" s="931" t="s">
        <v>517</v>
      </c>
      <c r="Z16" s="932">
        <v>1</v>
      </c>
    </row>
    <row r="17" spans="2:26" ht="37.5" customHeight="1" x14ac:dyDescent="0.3">
      <c r="B17" s="1079" t="s">
        <v>12</v>
      </c>
      <c r="C17" s="62"/>
      <c r="D17" s="963"/>
      <c r="E17" s="64"/>
      <c r="F17" s="61"/>
      <c r="G17" s="65">
        <v>0.39583333333333331</v>
      </c>
      <c r="H17" s="63" t="s">
        <v>215</v>
      </c>
      <c r="I17" s="64"/>
      <c r="J17" s="67"/>
      <c r="K17" s="953">
        <v>0.39583333333333331</v>
      </c>
      <c r="L17" s="929" t="s">
        <v>495</v>
      </c>
      <c r="M17" s="930"/>
      <c r="N17" s="954"/>
      <c r="O17" s="302">
        <v>0.39583333333333331</v>
      </c>
      <c r="P17" s="63" t="s">
        <v>361</v>
      </c>
      <c r="Q17" s="64"/>
      <c r="R17" s="66"/>
      <c r="S17" s="65">
        <v>0.39583333333333331</v>
      </c>
      <c r="T17" s="63" t="s">
        <v>150</v>
      </c>
      <c r="U17" s="64"/>
      <c r="V17" s="67"/>
      <c r="Y17" s="931" t="s">
        <v>518</v>
      </c>
      <c r="Z17" s="932">
        <v>1</v>
      </c>
    </row>
    <row r="18" spans="2:26" ht="37.5" customHeight="1" thickBot="1" x14ac:dyDescent="0.35">
      <c r="B18" s="1080"/>
      <c r="C18" s="69"/>
      <c r="D18" s="70"/>
      <c r="E18" s="71"/>
      <c r="F18" s="68"/>
      <c r="G18" s="72"/>
      <c r="H18" s="70"/>
      <c r="I18" s="71"/>
      <c r="J18" s="74"/>
      <c r="K18" s="972">
        <v>0.45833333333333331</v>
      </c>
      <c r="L18" s="973" t="s">
        <v>622</v>
      </c>
      <c r="M18" s="974"/>
      <c r="N18" s="980"/>
      <c r="O18" s="706">
        <v>0.4375</v>
      </c>
      <c r="P18" s="703" t="s">
        <v>382</v>
      </c>
      <c r="Q18" s="704"/>
      <c r="R18" s="951"/>
      <c r="S18" s="72"/>
      <c r="T18" s="70"/>
      <c r="U18" s="71"/>
      <c r="V18" s="74"/>
      <c r="Y18" s="931" t="s">
        <v>519</v>
      </c>
      <c r="Z18" s="932" t="s">
        <v>593</v>
      </c>
    </row>
    <row r="19" spans="2:26" ht="37.5" customHeight="1" thickBot="1" x14ac:dyDescent="0.35">
      <c r="B19" s="35" t="s">
        <v>30</v>
      </c>
      <c r="C19" s="2">
        <f>S12+3</f>
        <v>17</v>
      </c>
      <c r="D19" s="3" t="s">
        <v>6</v>
      </c>
      <c r="E19" s="3" t="s">
        <v>7</v>
      </c>
      <c r="F19" s="4" t="s">
        <v>8</v>
      </c>
      <c r="G19" s="5">
        <f>C19+1</f>
        <v>18</v>
      </c>
      <c r="H19" s="3" t="s">
        <v>6</v>
      </c>
      <c r="I19" s="3" t="s">
        <v>7</v>
      </c>
      <c r="J19" s="6" t="s">
        <v>8</v>
      </c>
      <c r="K19" s="282">
        <f>G19+1</f>
        <v>19</v>
      </c>
      <c r="L19" s="283" t="s">
        <v>6</v>
      </c>
      <c r="M19" s="283" t="s">
        <v>7</v>
      </c>
      <c r="N19" s="284" t="s">
        <v>8</v>
      </c>
      <c r="O19" s="799">
        <f>K19+1</f>
        <v>20</v>
      </c>
      <c r="P19" s="800" t="s">
        <v>6</v>
      </c>
      <c r="Q19" s="800" t="s">
        <v>7</v>
      </c>
      <c r="R19" s="801" t="s">
        <v>8</v>
      </c>
      <c r="S19" s="300">
        <f>O19+1</f>
        <v>21</v>
      </c>
      <c r="T19" s="3" t="s">
        <v>6</v>
      </c>
      <c r="U19" s="3" t="s">
        <v>7</v>
      </c>
      <c r="V19" s="16" t="s">
        <v>8</v>
      </c>
      <c r="Y19" s="931" t="s">
        <v>520</v>
      </c>
      <c r="Z19" s="932">
        <v>1</v>
      </c>
    </row>
    <row r="20" spans="2:26" ht="37.5" customHeight="1" thickTop="1" x14ac:dyDescent="0.3">
      <c r="B20" s="1085" t="s">
        <v>9</v>
      </c>
      <c r="C20" s="241"/>
      <c r="D20" s="213"/>
      <c r="E20" s="214"/>
      <c r="F20" s="242"/>
      <c r="G20" s="1263" t="s">
        <v>606</v>
      </c>
      <c r="H20" s="1264"/>
      <c r="I20" s="1264"/>
      <c r="J20" s="1265"/>
      <c r="K20" s="40">
        <v>0.39583333333333331</v>
      </c>
      <c r="L20" s="37" t="s">
        <v>493</v>
      </c>
      <c r="M20" s="38"/>
      <c r="N20" s="43"/>
      <c r="O20" s="1006">
        <v>0.375</v>
      </c>
      <c r="P20" s="1007" t="s">
        <v>491</v>
      </c>
      <c r="Q20" s="1008"/>
      <c r="R20" s="1009"/>
      <c r="S20" s="347">
        <v>0.39583333333333331</v>
      </c>
      <c r="T20" s="37" t="s">
        <v>205</v>
      </c>
      <c r="U20" s="38"/>
      <c r="V20" s="43"/>
      <c r="Y20" s="931" t="s">
        <v>521</v>
      </c>
      <c r="Z20" s="932">
        <v>1</v>
      </c>
    </row>
    <row r="21" spans="2:26" ht="37.5" customHeight="1" x14ac:dyDescent="0.3">
      <c r="B21" s="1085"/>
      <c r="C21" s="243"/>
      <c r="D21" s="218"/>
      <c r="E21" s="219"/>
      <c r="F21" s="244"/>
      <c r="G21" s="50">
        <v>0.40277777777777779</v>
      </c>
      <c r="H21" s="45" t="s">
        <v>321</v>
      </c>
      <c r="I21" s="46"/>
      <c r="J21" s="49"/>
      <c r="K21" s="50">
        <v>0.45833333333333331</v>
      </c>
      <c r="L21" s="45" t="s">
        <v>443</v>
      </c>
      <c r="M21" s="46"/>
      <c r="N21" s="52"/>
      <c r="O21" s="959">
        <v>0.39583333333333331</v>
      </c>
      <c r="P21" s="45" t="s">
        <v>153</v>
      </c>
      <c r="Q21" s="46"/>
      <c r="R21" s="805"/>
      <c r="S21" s="928">
        <v>0.45833333333333331</v>
      </c>
      <c r="T21" s="82" t="s">
        <v>617</v>
      </c>
      <c r="U21" s="798"/>
      <c r="V21" s="944"/>
      <c r="Y21" s="931" t="s">
        <v>522</v>
      </c>
      <c r="Z21" s="932" t="s">
        <v>592</v>
      </c>
    </row>
    <row r="22" spans="2:26" ht="37.5" customHeight="1" x14ac:dyDescent="0.3">
      <c r="B22" s="1085"/>
      <c r="C22" s="245"/>
      <c r="D22" s="224"/>
      <c r="E22" s="225"/>
      <c r="F22" s="246"/>
      <c r="G22" s="971">
        <v>0.46875</v>
      </c>
      <c r="H22" s="998" t="s">
        <v>629</v>
      </c>
      <c r="I22" s="999"/>
      <c r="J22" s="1000"/>
      <c r="K22" s="258">
        <v>0.625</v>
      </c>
      <c r="L22" s="54" t="s">
        <v>598</v>
      </c>
      <c r="M22" s="55"/>
      <c r="N22" s="60"/>
      <c r="O22" s="1005"/>
      <c r="P22" s="54"/>
      <c r="Q22" s="55"/>
      <c r="R22" s="807"/>
      <c r="S22" s="950">
        <v>0.66666666666666663</v>
      </c>
      <c r="T22" s="279" t="s">
        <v>597</v>
      </c>
      <c r="U22" s="280"/>
      <c r="V22" s="281"/>
      <c r="Y22" s="931" t="s">
        <v>523</v>
      </c>
      <c r="Z22" s="932" t="s">
        <v>593</v>
      </c>
    </row>
    <row r="23" spans="2:26" ht="37.5" customHeight="1" x14ac:dyDescent="0.3">
      <c r="B23" s="1086"/>
      <c r="C23" s="1262"/>
      <c r="D23" s="1236"/>
      <c r="E23" s="1236"/>
      <c r="F23" s="1239"/>
      <c r="G23" s="1241"/>
      <c r="H23" s="1189"/>
      <c r="I23" s="1189"/>
      <c r="J23" s="1238"/>
      <c r="K23" s="1241"/>
      <c r="L23" s="1189"/>
      <c r="M23" s="1189"/>
      <c r="N23" s="1189"/>
      <c r="O23" s="1246" t="s">
        <v>615</v>
      </c>
      <c r="P23" s="1247"/>
      <c r="Q23" s="1247"/>
      <c r="R23" s="1248"/>
      <c r="S23" s="1189"/>
      <c r="T23" s="1189"/>
      <c r="U23" s="1189"/>
      <c r="V23" s="1189"/>
      <c r="Y23" s="931" t="s">
        <v>524</v>
      </c>
      <c r="Z23" s="932">
        <v>1</v>
      </c>
    </row>
    <row r="24" spans="2:26" ht="37.5" customHeight="1" x14ac:dyDescent="0.3">
      <c r="B24" s="1079" t="s">
        <v>12</v>
      </c>
      <c r="C24" s="199"/>
      <c r="D24" s="200"/>
      <c r="E24" s="201"/>
      <c r="F24" s="202"/>
      <c r="G24" s="1258" t="s">
        <v>477</v>
      </c>
      <c r="H24" s="1259"/>
      <c r="I24" s="1259"/>
      <c r="J24" s="1259"/>
      <c r="K24" s="1259"/>
      <c r="L24" s="1259"/>
      <c r="M24" s="1259"/>
      <c r="N24" s="1259"/>
      <c r="O24" s="808">
        <v>0.39583333333333331</v>
      </c>
      <c r="P24" s="63" t="s">
        <v>596</v>
      </c>
      <c r="Q24" s="64"/>
      <c r="R24" s="960"/>
      <c r="S24" s="302">
        <v>0.39583333333333331</v>
      </c>
      <c r="T24" s="63" t="s">
        <v>173</v>
      </c>
      <c r="U24" s="64"/>
      <c r="V24" s="67"/>
      <c r="Y24" s="981" t="s">
        <v>525</v>
      </c>
      <c r="Z24" s="932"/>
    </row>
    <row r="25" spans="2:26" ht="37.5" customHeight="1" thickBot="1" x14ac:dyDescent="0.35">
      <c r="B25" s="1080"/>
      <c r="C25" s="203"/>
      <c r="D25" s="204"/>
      <c r="E25" s="205"/>
      <c r="F25" s="206"/>
      <c r="G25" s="1260"/>
      <c r="H25" s="1261"/>
      <c r="I25" s="1261"/>
      <c r="J25" s="1261"/>
      <c r="K25" s="1261"/>
      <c r="L25" s="1261"/>
      <c r="M25" s="1261"/>
      <c r="N25" s="1261"/>
      <c r="O25" s="955">
        <v>0.58333333333333337</v>
      </c>
      <c r="P25" s="956" t="s">
        <v>633</v>
      </c>
      <c r="Q25" s="957"/>
      <c r="R25" s="958"/>
      <c r="S25" s="303"/>
      <c r="T25" s="70"/>
      <c r="U25" s="71"/>
      <c r="V25" s="74"/>
      <c r="Y25" s="931" t="s">
        <v>526</v>
      </c>
      <c r="Z25" s="932">
        <v>1</v>
      </c>
    </row>
    <row r="26" spans="2:26" ht="37.5" customHeight="1" thickBot="1" x14ac:dyDescent="0.35">
      <c r="B26" s="35" t="s">
        <v>31</v>
      </c>
      <c r="C26" s="2">
        <f>S19+3</f>
        <v>24</v>
      </c>
      <c r="D26" s="3" t="s">
        <v>6</v>
      </c>
      <c r="E26" s="3" t="s">
        <v>7</v>
      </c>
      <c r="F26" s="4" t="s">
        <v>8</v>
      </c>
      <c r="G26" s="5">
        <f>C26+1</f>
        <v>25</v>
      </c>
      <c r="H26" s="3" t="s">
        <v>6</v>
      </c>
      <c r="I26" s="3" t="s">
        <v>7</v>
      </c>
      <c r="J26" s="6" t="s">
        <v>8</v>
      </c>
      <c r="K26" s="5">
        <f>G26+1</f>
        <v>26</v>
      </c>
      <c r="L26" s="3" t="s">
        <v>6</v>
      </c>
      <c r="M26" s="3" t="s">
        <v>7</v>
      </c>
      <c r="N26" s="6" t="s">
        <v>8</v>
      </c>
      <c r="O26" s="282">
        <f>K26+1</f>
        <v>27</v>
      </c>
      <c r="P26" s="283" t="s">
        <v>6</v>
      </c>
      <c r="Q26" s="283" t="s">
        <v>7</v>
      </c>
      <c r="R26" s="484" t="s">
        <v>8</v>
      </c>
      <c r="S26" s="5">
        <f>O26+1</f>
        <v>28</v>
      </c>
      <c r="T26" s="3" t="s">
        <v>6</v>
      </c>
      <c r="U26" s="3" t="s">
        <v>7</v>
      </c>
      <c r="V26" s="16" t="s">
        <v>8</v>
      </c>
      <c r="Y26" s="931" t="s">
        <v>527</v>
      </c>
      <c r="Z26" s="932" t="s">
        <v>592</v>
      </c>
    </row>
    <row r="27" spans="2:26" ht="37.5" customHeight="1" thickTop="1" x14ac:dyDescent="0.3">
      <c r="B27" s="1085" t="s">
        <v>9</v>
      </c>
      <c r="C27" s="36">
        <v>0.39583333333333331</v>
      </c>
      <c r="D27" s="37" t="s">
        <v>171</v>
      </c>
      <c r="E27" s="38"/>
      <c r="F27" s="39"/>
      <c r="G27" s="1249" t="s">
        <v>492</v>
      </c>
      <c r="H27" s="1250"/>
      <c r="I27" s="1250"/>
      <c r="J27" s="1250"/>
      <c r="K27" s="1250"/>
      <c r="L27" s="1250"/>
      <c r="M27" s="1250"/>
      <c r="N27" s="1251"/>
      <c r="O27" s="40">
        <v>0.4375</v>
      </c>
      <c r="P27" s="37" t="s">
        <v>599</v>
      </c>
      <c r="Q27" s="38"/>
      <c r="R27" s="41"/>
      <c r="S27" s="984">
        <v>0.39583333333333331</v>
      </c>
      <c r="T27" s="946" t="s">
        <v>626</v>
      </c>
      <c r="U27" s="985"/>
      <c r="V27" s="986"/>
      <c r="Y27" s="933" t="s">
        <v>528</v>
      </c>
      <c r="Z27" s="932">
        <v>1</v>
      </c>
    </row>
    <row r="28" spans="2:26" ht="37.5" customHeight="1" x14ac:dyDescent="0.3">
      <c r="B28" s="1085"/>
      <c r="C28" s="44"/>
      <c r="D28" s="45"/>
      <c r="E28" s="46"/>
      <c r="F28" s="47"/>
      <c r="G28" s="1252"/>
      <c r="H28" s="1253"/>
      <c r="I28" s="1253"/>
      <c r="J28" s="1253"/>
      <c r="K28" s="1253"/>
      <c r="L28" s="1253"/>
      <c r="M28" s="1253"/>
      <c r="N28" s="1254"/>
      <c r="O28" s="1010">
        <v>0.625</v>
      </c>
      <c r="P28" s="1011" t="s">
        <v>636</v>
      </c>
      <c r="Q28" s="46"/>
      <c r="R28" s="49"/>
      <c r="S28" s="48"/>
      <c r="T28" s="45"/>
      <c r="U28" s="46"/>
      <c r="V28" s="52"/>
      <c r="Y28" s="933" t="s">
        <v>529</v>
      </c>
      <c r="Z28" s="932">
        <v>1</v>
      </c>
    </row>
    <row r="29" spans="2:26" ht="37.5" customHeight="1" x14ac:dyDescent="0.3">
      <c r="B29" s="1085"/>
      <c r="C29" s="53"/>
      <c r="D29" s="54"/>
      <c r="E29" s="55"/>
      <c r="F29" s="56"/>
      <c r="G29" s="1255"/>
      <c r="H29" s="1256"/>
      <c r="I29" s="1256"/>
      <c r="J29" s="1256"/>
      <c r="K29" s="1256"/>
      <c r="L29" s="1256"/>
      <c r="M29" s="1256"/>
      <c r="N29" s="1257"/>
      <c r="O29" s="57"/>
      <c r="P29" s="54"/>
      <c r="Q29" s="55"/>
      <c r="R29" s="58"/>
      <c r="S29" s="57"/>
      <c r="T29" s="54"/>
      <c r="U29" s="55"/>
      <c r="V29" s="60"/>
      <c r="Y29" s="981" t="s">
        <v>530</v>
      </c>
      <c r="Z29" s="932"/>
    </row>
    <row r="30" spans="2:26" ht="37.5" customHeight="1" x14ac:dyDescent="0.3">
      <c r="B30" s="1086"/>
      <c r="C30" s="1237"/>
      <c r="D30" s="1189"/>
      <c r="E30" s="1189"/>
      <c r="F30" s="1238"/>
      <c r="G30" s="1241"/>
      <c r="H30" s="1189"/>
      <c r="I30" s="1189"/>
      <c r="J30" s="1238"/>
      <c r="K30" s="1242" t="s">
        <v>611</v>
      </c>
      <c r="L30" s="1242"/>
      <c r="M30" s="1242"/>
      <c r="N30" s="1243"/>
      <c r="O30" s="1244" t="s">
        <v>608</v>
      </c>
      <c r="P30" s="1245"/>
      <c r="Q30" s="1245"/>
      <c r="R30" s="1245"/>
      <c r="S30" s="1244" t="s">
        <v>610</v>
      </c>
      <c r="T30" s="1245"/>
      <c r="U30" s="1245"/>
      <c r="V30" s="1245"/>
      <c r="Y30" s="933" t="s">
        <v>531</v>
      </c>
      <c r="Z30" s="932">
        <v>1</v>
      </c>
    </row>
    <row r="31" spans="2:26" ht="37.5" customHeight="1" x14ac:dyDescent="0.3">
      <c r="B31" s="1079" t="s">
        <v>12</v>
      </c>
      <c r="C31" s="62">
        <v>0.4375</v>
      </c>
      <c r="D31" s="63" t="s">
        <v>51</v>
      </c>
      <c r="E31" s="64"/>
      <c r="F31" s="61"/>
      <c r="G31" s="65">
        <v>0.39583333333333331</v>
      </c>
      <c r="H31" s="63" t="s">
        <v>311</v>
      </c>
      <c r="I31" s="64"/>
      <c r="J31" s="66"/>
      <c r="K31" s="65">
        <v>0.39583333333333331</v>
      </c>
      <c r="L31" s="63" t="s">
        <v>149</v>
      </c>
      <c r="M31" s="64"/>
      <c r="N31" s="66"/>
      <c r="O31" s="65">
        <v>0.38541666666666669</v>
      </c>
      <c r="P31" s="63" t="s">
        <v>36</v>
      </c>
      <c r="Q31" s="64"/>
      <c r="R31" s="66"/>
      <c r="S31" s="65"/>
      <c r="T31" s="63"/>
      <c r="U31" s="64"/>
      <c r="V31" s="67"/>
      <c r="Y31" s="931" t="s">
        <v>532</v>
      </c>
      <c r="Z31" s="932">
        <v>1</v>
      </c>
    </row>
    <row r="32" spans="2:26" ht="37.5" customHeight="1" x14ac:dyDescent="0.3">
      <c r="B32" s="1080"/>
      <c r="C32" s="69"/>
      <c r="D32" s="70"/>
      <c r="E32" s="71"/>
      <c r="F32" s="68"/>
      <c r="G32" s="993">
        <v>0.45833333333333331</v>
      </c>
      <c r="H32" s="994" t="s">
        <v>628</v>
      </c>
      <c r="I32" s="995"/>
      <c r="J32" s="996"/>
      <c r="K32" s="72"/>
      <c r="L32" s="70"/>
      <c r="M32" s="71"/>
      <c r="N32" s="73"/>
      <c r="O32" s="72"/>
      <c r="P32" s="70"/>
      <c r="Q32" s="71"/>
      <c r="R32" s="73"/>
      <c r="S32" s="72"/>
      <c r="T32" s="70"/>
      <c r="U32" s="71"/>
      <c r="V32" s="74"/>
      <c r="Y32" s="981" t="s">
        <v>533</v>
      </c>
      <c r="Z32" s="932"/>
    </row>
    <row r="33" spans="1:26" ht="37.5" customHeight="1" thickBot="1" x14ac:dyDescent="0.35">
      <c r="B33" s="35" t="s">
        <v>32</v>
      </c>
      <c r="C33" s="2">
        <f>S26+3</f>
        <v>31</v>
      </c>
      <c r="D33" s="3" t="s">
        <v>6</v>
      </c>
      <c r="E33" s="3" t="s">
        <v>7</v>
      </c>
      <c r="F33" s="4" t="s">
        <v>8</v>
      </c>
      <c r="G33" s="208"/>
      <c r="H33" s="209"/>
      <c r="I33" s="209"/>
      <c r="J33" s="210"/>
      <c r="K33" s="208"/>
      <c r="L33" s="209"/>
      <c r="M33" s="209"/>
      <c r="N33" s="210"/>
      <c r="O33" s="208"/>
      <c r="P33" s="209"/>
      <c r="Q33" s="209"/>
      <c r="R33" s="210"/>
      <c r="S33" s="208"/>
      <c r="T33" s="209"/>
      <c r="U33" s="209"/>
      <c r="V33" s="211"/>
      <c r="Y33" s="931" t="s">
        <v>534</v>
      </c>
      <c r="Z33" s="932" t="s">
        <v>592</v>
      </c>
    </row>
    <row r="34" spans="1:26" ht="37.5" customHeight="1" thickTop="1" x14ac:dyDescent="0.3">
      <c r="B34" s="1240" t="s">
        <v>9</v>
      </c>
      <c r="C34" s="36"/>
      <c r="D34" s="37"/>
      <c r="E34" s="38"/>
      <c r="F34" s="39"/>
      <c r="G34" s="212"/>
      <c r="H34" s="213"/>
      <c r="I34" s="214"/>
      <c r="J34" s="215"/>
      <c r="K34" s="212"/>
      <c r="L34" s="213"/>
      <c r="M34" s="214"/>
      <c r="N34" s="215"/>
      <c r="O34" s="212"/>
      <c r="P34" s="213"/>
      <c r="Q34" s="214"/>
      <c r="R34" s="215"/>
      <c r="S34" s="212"/>
      <c r="T34" s="213"/>
      <c r="U34" s="214"/>
      <c r="V34" s="216"/>
      <c r="Y34" s="931" t="s">
        <v>535</v>
      </c>
      <c r="Z34" s="932" t="s">
        <v>592</v>
      </c>
    </row>
    <row r="35" spans="1:26" ht="37.5" customHeight="1" x14ac:dyDescent="0.3">
      <c r="B35" s="1085"/>
      <c r="C35" s="53"/>
      <c r="D35" s="54"/>
      <c r="E35" s="55"/>
      <c r="F35" s="56"/>
      <c r="G35" s="223"/>
      <c r="H35" s="224"/>
      <c r="I35" s="225"/>
      <c r="J35" s="226"/>
      <c r="K35" s="223"/>
      <c r="L35" s="224"/>
      <c r="M35" s="225"/>
      <c r="N35" s="226"/>
      <c r="O35" s="223"/>
      <c r="P35" s="224"/>
      <c r="Q35" s="225"/>
      <c r="R35" s="226"/>
      <c r="S35" s="223"/>
      <c r="T35" s="224"/>
      <c r="U35" s="225"/>
      <c r="V35" s="227"/>
      <c r="Y35" s="933" t="s">
        <v>536</v>
      </c>
      <c r="Z35" s="932">
        <v>1</v>
      </c>
    </row>
    <row r="36" spans="1:26" ht="37.5" customHeight="1" x14ac:dyDescent="0.3">
      <c r="B36" s="1086"/>
      <c r="C36" s="1237"/>
      <c r="D36" s="1189"/>
      <c r="E36" s="1189"/>
      <c r="F36" s="1238"/>
      <c r="G36" s="1235"/>
      <c r="H36" s="1236"/>
      <c r="I36" s="1236"/>
      <c r="J36" s="1239"/>
      <c r="K36" s="1235"/>
      <c r="L36" s="1236"/>
      <c r="M36" s="1236"/>
      <c r="N36" s="1239"/>
      <c r="O36" s="1235"/>
      <c r="P36" s="1236"/>
      <c r="Q36" s="1236"/>
      <c r="R36" s="1239"/>
      <c r="S36" s="1235"/>
      <c r="T36" s="1236"/>
      <c r="U36" s="1236"/>
      <c r="V36" s="1236"/>
      <c r="Y36" s="933" t="s">
        <v>537</v>
      </c>
      <c r="Z36" s="932"/>
    </row>
    <row r="37" spans="1:26" ht="37.5" customHeight="1" x14ac:dyDescent="0.3">
      <c r="B37" s="1079" t="s">
        <v>12</v>
      </c>
      <c r="C37" s="62"/>
      <c r="D37" s="63"/>
      <c r="E37" s="64"/>
      <c r="F37" s="61"/>
      <c r="G37" s="228"/>
      <c r="H37" s="200"/>
      <c r="I37" s="201"/>
      <c r="J37" s="229"/>
      <c r="K37" s="228"/>
      <c r="L37" s="200"/>
      <c r="M37" s="201"/>
      <c r="N37" s="229"/>
      <c r="O37" s="228"/>
      <c r="P37" s="200"/>
      <c r="Q37" s="201"/>
      <c r="R37" s="229"/>
      <c r="S37" s="228"/>
      <c r="T37" s="200"/>
      <c r="U37" s="201"/>
      <c r="V37" s="230"/>
      <c r="Y37" s="931" t="s">
        <v>538</v>
      </c>
      <c r="Z37" s="932" t="s">
        <v>592</v>
      </c>
    </row>
    <row r="38" spans="1:26" ht="37.5" customHeight="1" x14ac:dyDescent="0.3">
      <c r="B38" s="1080"/>
      <c r="C38" s="69"/>
      <c r="D38" s="70"/>
      <c r="E38" s="71"/>
      <c r="F38" s="68"/>
      <c r="G38" s="231"/>
      <c r="H38" s="204"/>
      <c r="I38" s="205"/>
      <c r="J38" s="232"/>
      <c r="K38" s="231"/>
      <c r="L38" s="204"/>
      <c r="M38" s="205"/>
      <c r="N38" s="232"/>
      <c r="O38" s="231"/>
      <c r="P38" s="204"/>
      <c r="Q38" s="205"/>
      <c r="R38" s="232"/>
      <c r="S38" s="231"/>
      <c r="T38" s="204"/>
      <c r="U38" s="205"/>
      <c r="V38" s="233"/>
      <c r="Y38" s="931" t="s">
        <v>539</v>
      </c>
      <c r="Z38" s="932">
        <v>1</v>
      </c>
    </row>
    <row r="39" spans="1:26" ht="29.25" customHeight="1" x14ac:dyDescent="0.3">
      <c r="Y39" s="933" t="s">
        <v>540</v>
      </c>
      <c r="Z39" s="932"/>
    </row>
    <row r="40" spans="1:26" ht="30.75" customHeight="1" x14ac:dyDescent="0.3">
      <c r="B40" s="207"/>
      <c r="Y40" s="933" t="s">
        <v>541</v>
      </c>
      <c r="Z40" s="932">
        <v>1</v>
      </c>
    </row>
    <row r="41" spans="1:26" ht="42" customHeight="1" x14ac:dyDescent="0.3">
      <c r="Y41" s="931" t="s">
        <v>542</v>
      </c>
      <c r="Z41" s="932">
        <v>1</v>
      </c>
    </row>
    <row r="42" spans="1:26" ht="30.75" customHeight="1" x14ac:dyDescent="0.3">
      <c r="Y42" s="933" t="s">
        <v>543</v>
      </c>
      <c r="Z42" s="932"/>
    </row>
    <row r="43" spans="1:26" ht="30.75" customHeight="1" x14ac:dyDescent="0.3">
      <c r="Y43" s="931" t="s">
        <v>544</v>
      </c>
      <c r="Z43" s="932" t="s">
        <v>592</v>
      </c>
    </row>
    <row r="44" spans="1:26" ht="30.75" customHeight="1" x14ac:dyDescent="0.3">
      <c r="Y44" s="933" t="s">
        <v>545</v>
      </c>
      <c r="Z44" s="932">
        <v>1</v>
      </c>
    </row>
    <row r="45" spans="1:26" ht="30.75" customHeight="1" x14ac:dyDescent="0.3">
      <c r="A45" s="1" t="s">
        <v>497</v>
      </c>
      <c r="W45" s="1" t="s">
        <v>497</v>
      </c>
      <c r="Y45" s="931" t="s">
        <v>546</v>
      </c>
      <c r="Z45" s="932">
        <v>1</v>
      </c>
    </row>
    <row r="46" spans="1:26" ht="30.75" customHeight="1" x14ac:dyDescent="0.3">
      <c r="Y46" s="931" t="s">
        <v>547</v>
      </c>
      <c r="Z46" s="932" t="s">
        <v>592</v>
      </c>
    </row>
    <row r="47" spans="1:26" ht="30.75" customHeight="1" x14ac:dyDescent="0.3">
      <c r="Y47" s="933" t="s">
        <v>548</v>
      </c>
      <c r="Z47" s="932">
        <v>1</v>
      </c>
    </row>
    <row r="48" spans="1:26" ht="30.75" customHeight="1" x14ac:dyDescent="0.3">
      <c r="Y48" s="933" t="s">
        <v>549</v>
      </c>
      <c r="Z48" s="932">
        <v>1</v>
      </c>
    </row>
    <row r="49" spans="25:26" ht="30.75" customHeight="1" x14ac:dyDescent="0.3">
      <c r="Y49" s="931" t="s">
        <v>550</v>
      </c>
      <c r="Z49" s="932"/>
    </row>
    <row r="50" spans="25:26" ht="30.75" customHeight="1" x14ac:dyDescent="0.3">
      <c r="Y50" s="931" t="s">
        <v>551</v>
      </c>
      <c r="Z50" s="932"/>
    </row>
    <row r="51" spans="25:26" ht="30.75" customHeight="1" x14ac:dyDescent="0.3">
      <c r="Y51" s="931" t="s">
        <v>552</v>
      </c>
      <c r="Z51" s="932"/>
    </row>
    <row r="52" spans="25:26" ht="30.75" customHeight="1" x14ac:dyDescent="0.3">
      <c r="Y52" s="931" t="s">
        <v>553</v>
      </c>
      <c r="Z52" s="932"/>
    </row>
    <row r="53" spans="25:26" ht="30.75" customHeight="1" x14ac:dyDescent="0.3">
      <c r="Y53" s="931" t="s">
        <v>554</v>
      </c>
      <c r="Z53" s="932"/>
    </row>
    <row r="54" spans="25:26" ht="30.75" customHeight="1" x14ac:dyDescent="0.3">
      <c r="Y54" s="931" t="s">
        <v>555</v>
      </c>
      <c r="Z54" s="932"/>
    </row>
    <row r="55" spans="25:26" ht="30.75" customHeight="1" x14ac:dyDescent="0.3">
      <c r="Y55" s="931" t="s">
        <v>556</v>
      </c>
      <c r="Z55" s="932"/>
    </row>
    <row r="56" spans="25:26" ht="30.75" customHeight="1" x14ac:dyDescent="0.3">
      <c r="Y56" s="931" t="s">
        <v>557</v>
      </c>
      <c r="Z56" s="932"/>
    </row>
    <row r="57" spans="25:26" ht="30.75" customHeight="1" x14ac:dyDescent="0.3">
      <c r="Y57" s="981" t="s">
        <v>558</v>
      </c>
      <c r="Z57" s="932"/>
    </row>
    <row r="58" spans="25:26" ht="30.75" customHeight="1" x14ac:dyDescent="0.3">
      <c r="Y58" s="931" t="s">
        <v>559</v>
      </c>
      <c r="Z58" s="932"/>
    </row>
    <row r="59" spans="25:26" ht="30.75" customHeight="1" x14ac:dyDescent="0.3">
      <c r="Y59" s="931" t="s">
        <v>560</v>
      </c>
      <c r="Z59" s="932"/>
    </row>
    <row r="60" spans="25:26" ht="30.75" customHeight="1" x14ac:dyDescent="0.3">
      <c r="Y60" s="931" t="s">
        <v>561</v>
      </c>
      <c r="Z60" s="932"/>
    </row>
    <row r="61" spans="25:26" ht="30.75" customHeight="1" x14ac:dyDescent="0.3">
      <c r="Y61" s="931" t="s">
        <v>562</v>
      </c>
      <c r="Z61" s="932"/>
    </row>
    <row r="62" spans="25:26" ht="30.75" customHeight="1" x14ac:dyDescent="0.3">
      <c r="Y62" s="931" t="s">
        <v>563</v>
      </c>
      <c r="Z62" s="932"/>
    </row>
    <row r="63" spans="25:26" ht="30.75" customHeight="1" x14ac:dyDescent="0.3">
      <c r="Y63" s="931" t="s">
        <v>564</v>
      </c>
      <c r="Z63" s="932"/>
    </row>
    <row r="64" spans="25:26" ht="30.75" customHeight="1" x14ac:dyDescent="0.3">
      <c r="Y64" s="931" t="s">
        <v>565</v>
      </c>
      <c r="Z64" s="932"/>
    </row>
    <row r="65" spans="25:26" ht="30.75" customHeight="1" x14ac:dyDescent="0.3">
      <c r="Y65" s="931" t="s">
        <v>566</v>
      </c>
      <c r="Z65" s="932"/>
    </row>
    <row r="66" spans="25:26" ht="30.75" customHeight="1" x14ac:dyDescent="0.3">
      <c r="Y66" s="931" t="s">
        <v>567</v>
      </c>
      <c r="Z66" s="932"/>
    </row>
    <row r="67" spans="25:26" ht="30.75" customHeight="1" x14ac:dyDescent="0.3">
      <c r="Y67" s="931" t="s">
        <v>568</v>
      </c>
      <c r="Z67" s="932"/>
    </row>
    <row r="68" spans="25:26" ht="30.75" customHeight="1" x14ac:dyDescent="0.3">
      <c r="Y68" s="931" t="s">
        <v>569</v>
      </c>
      <c r="Z68" s="932"/>
    </row>
    <row r="69" spans="25:26" ht="30.75" customHeight="1" x14ac:dyDescent="0.3">
      <c r="Y69" s="931" t="s">
        <v>570</v>
      </c>
      <c r="Z69" s="932"/>
    </row>
    <row r="70" spans="25:26" ht="30.75" customHeight="1" x14ac:dyDescent="0.3">
      <c r="Y70" s="931" t="s">
        <v>571</v>
      </c>
      <c r="Z70" s="932"/>
    </row>
    <row r="71" spans="25:26" ht="30.75" customHeight="1" x14ac:dyDescent="0.3">
      <c r="Y71" s="931" t="s">
        <v>572</v>
      </c>
      <c r="Z71" s="932"/>
    </row>
    <row r="72" spans="25:26" ht="30.75" customHeight="1" x14ac:dyDescent="0.3">
      <c r="Y72" s="981" t="s">
        <v>573</v>
      </c>
      <c r="Z72" s="932"/>
    </row>
    <row r="73" spans="25:26" ht="30.75" customHeight="1" x14ac:dyDescent="0.3">
      <c r="Y73" s="931" t="s">
        <v>574</v>
      </c>
      <c r="Z73" s="932"/>
    </row>
    <row r="74" spans="25:26" ht="30.75" customHeight="1" x14ac:dyDescent="0.3">
      <c r="Y74" s="931" t="s">
        <v>575</v>
      </c>
      <c r="Z74" s="932"/>
    </row>
    <row r="75" spans="25:26" ht="30.75" customHeight="1" x14ac:dyDescent="0.3">
      <c r="Y75" s="931" t="s">
        <v>576</v>
      </c>
      <c r="Z75" s="932"/>
    </row>
    <row r="76" spans="25:26" ht="30.75" customHeight="1" x14ac:dyDescent="0.3">
      <c r="Y76" s="931" t="s">
        <v>577</v>
      </c>
      <c r="Z76" s="932"/>
    </row>
    <row r="77" spans="25:26" ht="30.75" customHeight="1" x14ac:dyDescent="0.3">
      <c r="Y77" s="931" t="s">
        <v>578</v>
      </c>
      <c r="Z77" s="932"/>
    </row>
    <row r="78" spans="25:26" ht="30.75" customHeight="1" x14ac:dyDescent="0.3">
      <c r="Y78" s="933" t="s">
        <v>579</v>
      </c>
      <c r="Z78" s="932"/>
    </row>
    <row r="79" spans="25:26" ht="30.75" customHeight="1" x14ac:dyDescent="0.3">
      <c r="Y79" s="931" t="s">
        <v>580</v>
      </c>
      <c r="Z79" s="932"/>
    </row>
    <row r="80" spans="25:26" ht="30.75" customHeight="1" x14ac:dyDescent="0.3">
      <c r="Y80" s="931" t="s">
        <v>581</v>
      </c>
      <c r="Z80" s="932"/>
    </row>
    <row r="81" spans="25:26" ht="30.75" customHeight="1" x14ac:dyDescent="0.3">
      <c r="Y81" s="931" t="s">
        <v>582</v>
      </c>
      <c r="Z81" s="932"/>
    </row>
    <row r="82" spans="25:26" ht="30.75" customHeight="1" x14ac:dyDescent="0.3">
      <c r="Y82" s="931" t="s">
        <v>583</v>
      </c>
      <c r="Z82" s="932"/>
    </row>
    <row r="83" spans="25:26" ht="30.75" customHeight="1" x14ac:dyDescent="0.3">
      <c r="Y83" s="931" t="s">
        <v>584</v>
      </c>
      <c r="Z83" s="932"/>
    </row>
    <row r="84" spans="25:26" ht="30.75" customHeight="1" x14ac:dyDescent="0.3">
      <c r="Y84" s="981" t="s">
        <v>585</v>
      </c>
      <c r="Z84" s="932"/>
    </row>
    <row r="85" spans="25:26" ht="30.75" customHeight="1" x14ac:dyDescent="0.3">
      <c r="Y85" s="931" t="s">
        <v>586</v>
      </c>
      <c r="Z85" s="932"/>
    </row>
    <row r="86" spans="25:26" ht="30.75" customHeight="1" x14ac:dyDescent="0.3">
      <c r="Y86" s="931" t="s">
        <v>587</v>
      </c>
      <c r="Z86" s="932"/>
    </row>
    <row r="87" spans="25:26" ht="30.75" customHeight="1" x14ac:dyDescent="0.3">
      <c r="Y87" s="931" t="s">
        <v>588</v>
      </c>
      <c r="Z87" s="932"/>
    </row>
    <row r="88" spans="25:26" ht="30.75" customHeight="1" x14ac:dyDescent="0.3">
      <c r="Y88" s="933" t="s">
        <v>589</v>
      </c>
      <c r="Z88" s="932"/>
    </row>
    <row r="89" spans="25:26" ht="30.75" customHeight="1" x14ac:dyDescent="0.3">
      <c r="Y89" s="931" t="s">
        <v>590</v>
      </c>
      <c r="Z89" s="932">
        <v>1</v>
      </c>
    </row>
    <row r="90" spans="25:26" ht="30.75" customHeight="1" x14ac:dyDescent="0.3">
      <c r="Y90" s="931" t="s">
        <v>591</v>
      </c>
      <c r="Z90" s="932"/>
    </row>
    <row r="91" spans="25:26" ht="30.75" customHeight="1" x14ac:dyDescent="0.3">
      <c r="Y91" s="934" t="s">
        <v>594</v>
      </c>
    </row>
    <row r="92" spans="25:26" ht="30.75" customHeight="1" x14ac:dyDescent="0.3">
      <c r="Y92" s="934" t="s">
        <v>69</v>
      </c>
    </row>
  </sheetData>
  <autoFilter ref="Y4:Z92" xr:uid="{9EF673BD-7822-4860-8380-AE7517F8254D}"/>
  <mergeCells count="44">
    <mergeCell ref="C4:F4"/>
    <mergeCell ref="G4:J4"/>
    <mergeCell ref="K4:N4"/>
    <mergeCell ref="O4:R4"/>
    <mergeCell ref="S4:V4"/>
    <mergeCell ref="S9:V9"/>
    <mergeCell ref="B10:B11"/>
    <mergeCell ref="B13:B16"/>
    <mergeCell ref="C16:F16"/>
    <mergeCell ref="G16:J16"/>
    <mergeCell ref="K16:N16"/>
    <mergeCell ref="O16:R16"/>
    <mergeCell ref="S16:V16"/>
    <mergeCell ref="B6:B9"/>
    <mergeCell ref="C9:F9"/>
    <mergeCell ref="G9:J9"/>
    <mergeCell ref="K9:N9"/>
    <mergeCell ref="O9:R9"/>
    <mergeCell ref="O11:V11"/>
    <mergeCell ref="B17:B18"/>
    <mergeCell ref="B20:B23"/>
    <mergeCell ref="C23:F23"/>
    <mergeCell ref="G23:J23"/>
    <mergeCell ref="K23:N23"/>
    <mergeCell ref="G20:J20"/>
    <mergeCell ref="S23:V23"/>
    <mergeCell ref="B24:B25"/>
    <mergeCell ref="B27:B30"/>
    <mergeCell ref="C30:F30"/>
    <mergeCell ref="G30:J30"/>
    <mergeCell ref="K30:N30"/>
    <mergeCell ref="O30:R30"/>
    <mergeCell ref="S30:V30"/>
    <mergeCell ref="O23:R23"/>
    <mergeCell ref="G27:N29"/>
    <mergeCell ref="G24:N25"/>
    <mergeCell ref="S36:V36"/>
    <mergeCell ref="B37:B38"/>
    <mergeCell ref="B31:B32"/>
    <mergeCell ref="C36:F36"/>
    <mergeCell ref="G36:J36"/>
    <mergeCell ref="K36:N36"/>
    <mergeCell ref="O36:R36"/>
    <mergeCell ref="B34:B36"/>
  </mergeCells>
  <phoneticPr fontId="2" type="noConversion"/>
  <pageMargins left="0.39370078740157483" right="0.39370078740157483" top="0.39370078740157483" bottom="0.39370078740157483" header="0.31496062992125984" footer="0.31496062992125984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64F1-752B-4D9F-B83D-80E686EA1FDD}">
  <sheetPr>
    <tabColor rgb="FF002060"/>
  </sheetPr>
  <dimension ref="B1:AH189"/>
  <sheetViews>
    <sheetView showGridLines="0" zoomScale="55" zoomScaleNormal="55" workbookViewId="0">
      <selection activeCell="H19" sqref="H19"/>
    </sheetView>
  </sheetViews>
  <sheetFormatPr defaultRowHeight="30.75" customHeight="1" x14ac:dyDescent="0.3"/>
  <cols>
    <col min="1" max="1" width="4.125" style="1" customWidth="1"/>
    <col min="2" max="2" width="14" style="1" customWidth="1"/>
    <col min="3" max="3" width="8.375" style="1" customWidth="1"/>
    <col min="4" max="4" width="25.375" style="1" customWidth="1"/>
    <col min="5" max="6" width="9.125" style="1" customWidth="1"/>
    <col min="7" max="7" width="7.75" style="1" customWidth="1"/>
    <col min="8" max="8" width="25.375" style="1" customWidth="1"/>
    <col min="9" max="10" width="9.125" style="1" customWidth="1"/>
    <col min="11" max="11" width="7.75" style="1" customWidth="1"/>
    <col min="12" max="12" width="25.375" style="1" customWidth="1"/>
    <col min="13" max="14" width="9.125" style="1" customWidth="1"/>
    <col min="15" max="15" width="7.75" style="1" customWidth="1"/>
    <col min="16" max="16" width="25.375" style="1" customWidth="1"/>
    <col min="17" max="18" width="9.125" style="1" customWidth="1"/>
    <col min="19" max="19" width="7.75" style="1" customWidth="1"/>
    <col min="20" max="20" width="25.375" style="1" customWidth="1"/>
    <col min="21" max="22" width="9.125" style="1" customWidth="1"/>
    <col min="23" max="23" width="4.125" style="1" customWidth="1"/>
    <col min="24" max="24" width="9.125" style="1018" bestFit="1" customWidth="1"/>
    <col min="25" max="25" width="9.5" style="1019" bestFit="1" customWidth="1"/>
    <col min="28" max="28" width="9" style="1"/>
    <col min="29" max="29" width="17.75" style="1" customWidth="1"/>
    <col min="30" max="30" width="9" style="1"/>
    <col min="31" max="31" width="33.375" style="598" customWidth="1"/>
    <col min="32" max="32" width="13.25" style="1015" bestFit="1" customWidth="1"/>
    <col min="33" max="33" width="17.625" style="1" bestFit="1" customWidth="1"/>
    <col min="35" max="16384" width="9" style="1"/>
  </cols>
  <sheetData>
    <row r="1" spans="2:33" ht="30.75" customHeight="1" x14ac:dyDescent="0.3">
      <c r="B1" s="207" t="s">
        <v>687</v>
      </c>
      <c r="AF1" s="1015">
        <f>SUM(AF4:AF1048)</f>
        <v>53</v>
      </c>
    </row>
    <row r="2" spans="2:33" ht="96" customHeight="1" thickBot="1" x14ac:dyDescent="0.35">
      <c r="B2" s="132" t="s">
        <v>333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</row>
    <row r="3" spans="2:33" ht="30.75" customHeight="1" thickTop="1" x14ac:dyDescent="0.3"/>
    <row r="4" spans="2:33" ht="30.75" customHeight="1" thickBot="1" x14ac:dyDescent="0.35">
      <c r="B4" s="4" t="s">
        <v>0</v>
      </c>
      <c r="C4" s="1077" t="s">
        <v>1</v>
      </c>
      <c r="D4" s="1077"/>
      <c r="E4" s="1077"/>
      <c r="F4" s="1077"/>
      <c r="G4" s="1077" t="s">
        <v>2</v>
      </c>
      <c r="H4" s="1077"/>
      <c r="I4" s="1077"/>
      <c r="J4" s="1077"/>
      <c r="K4" s="1077" t="s">
        <v>3</v>
      </c>
      <c r="L4" s="1077"/>
      <c r="M4" s="1077"/>
      <c r="N4" s="1077"/>
      <c r="O4" s="1077" t="s">
        <v>4</v>
      </c>
      <c r="P4" s="1077"/>
      <c r="Q4" s="1077"/>
      <c r="R4" s="1077"/>
      <c r="S4" s="1077" t="s">
        <v>5</v>
      </c>
      <c r="T4" s="1077"/>
      <c r="U4" s="1077"/>
      <c r="V4" s="1078"/>
      <c r="X4" s="1018">
        <v>1</v>
      </c>
      <c r="Y4" s="1019" t="str">
        <f t="shared" ref="Y4:Y35" si="0">VLOOKUP(X4,$AD$4:$AE$111,2,FALSE)</f>
        <v>트루 대성</v>
      </c>
      <c r="AD4" s="1" t="str">
        <f>IF(AG4="","",COUNTIFS($AG$4:AG4,AG4))</f>
        <v/>
      </c>
      <c r="AE4" s="1017" t="s">
        <v>50</v>
      </c>
      <c r="AF4" s="1015">
        <f t="shared" ref="AF4:AF35" si="1">COUNTIFS($B$3:$V$46,AE4)</f>
        <v>1</v>
      </c>
      <c r="AG4" s="1" t="str">
        <f>IF(AF4=0,1,"")</f>
        <v/>
      </c>
    </row>
    <row r="5" spans="2:33" ht="30.75" customHeight="1" thickTop="1" thickBot="1" x14ac:dyDescent="0.35">
      <c r="B5" s="34" t="s">
        <v>28</v>
      </c>
      <c r="C5" s="208"/>
      <c r="D5" s="209"/>
      <c r="E5" s="209"/>
      <c r="F5" s="210"/>
      <c r="G5" s="5">
        <v>1</v>
      </c>
      <c r="H5" s="3" t="s">
        <v>6</v>
      </c>
      <c r="I5" s="3" t="s">
        <v>7</v>
      </c>
      <c r="J5" s="6" t="s">
        <v>8</v>
      </c>
      <c r="K5" s="5">
        <f>G5+1</f>
        <v>2</v>
      </c>
      <c r="L5" s="3" t="s">
        <v>6</v>
      </c>
      <c r="M5" s="3" t="s">
        <v>7</v>
      </c>
      <c r="N5" s="6" t="s">
        <v>8</v>
      </c>
      <c r="O5" s="5">
        <f>K5+1</f>
        <v>3</v>
      </c>
      <c r="P5" s="3" t="s">
        <v>6</v>
      </c>
      <c r="Q5" s="3" t="s">
        <v>7</v>
      </c>
      <c r="R5" s="6" t="s">
        <v>8</v>
      </c>
      <c r="S5" s="5">
        <f>O5+1</f>
        <v>4</v>
      </c>
      <c r="T5" s="3" t="s">
        <v>6</v>
      </c>
      <c r="U5" s="3" t="s">
        <v>7</v>
      </c>
      <c r="V5" s="16" t="s">
        <v>8</v>
      </c>
      <c r="X5" s="1018">
        <v>2</v>
      </c>
      <c r="Y5" s="1019" t="str">
        <f t="shared" si="0"/>
        <v>피플라이프 평택금융</v>
      </c>
      <c r="AD5" s="1" t="str">
        <f>IF(AG5="","",COUNTIFS($AG$4:AG5,AG5))</f>
        <v/>
      </c>
      <c r="AE5" s="1012" t="s">
        <v>151</v>
      </c>
      <c r="AF5" s="1015">
        <f t="shared" si="1"/>
        <v>1</v>
      </c>
      <c r="AG5" s="1" t="str">
        <f t="shared" ref="AG5:AG10" si="2">IF(AF5=0,1,"")</f>
        <v/>
      </c>
    </row>
    <row r="6" spans="2:33" ht="30.75" customHeight="1" thickTop="1" x14ac:dyDescent="0.3">
      <c r="B6" s="1085" t="s">
        <v>9</v>
      </c>
      <c r="C6" s="212"/>
      <c r="D6" s="213"/>
      <c r="E6" s="214"/>
      <c r="F6" s="215"/>
      <c r="G6" s="40">
        <v>0.39583333333333331</v>
      </c>
      <c r="H6" s="37" t="s">
        <v>80</v>
      </c>
      <c r="I6" s="38"/>
      <c r="J6" s="41"/>
      <c r="K6" s="40">
        <v>0.39583333333333331</v>
      </c>
      <c r="L6" s="37" t="s">
        <v>631</v>
      </c>
      <c r="M6" s="38"/>
      <c r="N6" s="41"/>
      <c r="O6" s="40">
        <v>0.39583333333333331</v>
      </c>
      <c r="P6" s="37" t="s">
        <v>207</v>
      </c>
      <c r="Q6" s="38"/>
      <c r="R6" s="41"/>
      <c r="S6" s="40">
        <v>0.39583333333333331</v>
      </c>
      <c r="T6" s="37" t="s">
        <v>659</v>
      </c>
      <c r="U6" s="38"/>
      <c r="V6" s="43"/>
      <c r="X6" s="1018">
        <v>3</v>
      </c>
      <c r="Y6" s="1019" t="str">
        <f t="shared" si="0"/>
        <v>피플라이프 오산</v>
      </c>
      <c r="AD6" s="1" t="str">
        <f>IF(AG6="","",COUNTIFS($AG$4:AG6,AG6))</f>
        <v/>
      </c>
      <c r="AE6" s="1012" t="s">
        <v>639</v>
      </c>
      <c r="AF6" s="1015">
        <f t="shared" si="1"/>
        <v>1</v>
      </c>
      <c r="AG6" s="1" t="str">
        <f t="shared" si="2"/>
        <v/>
      </c>
    </row>
    <row r="7" spans="2:33" ht="30.75" customHeight="1" x14ac:dyDescent="0.3">
      <c r="B7" s="1085"/>
      <c r="C7" s="221"/>
      <c r="D7" s="218"/>
      <c r="E7" s="219"/>
      <c r="F7" s="220"/>
      <c r="G7" s="50">
        <v>0.45833333333333331</v>
      </c>
      <c r="H7" s="45" t="s">
        <v>79</v>
      </c>
      <c r="I7" s="46"/>
      <c r="J7" s="49"/>
      <c r="K7" s="1001">
        <v>0.5625</v>
      </c>
      <c r="L7" s="828" t="s">
        <v>355</v>
      </c>
      <c r="M7" s="829"/>
      <c r="N7" s="1002"/>
      <c r="O7" s="50">
        <v>0.54166666666666663</v>
      </c>
      <c r="P7" s="45" t="s">
        <v>456</v>
      </c>
      <c r="Q7" s="46"/>
      <c r="R7" s="49"/>
      <c r="S7" s="50">
        <v>0.44444444444444442</v>
      </c>
      <c r="T7" s="45" t="s">
        <v>433</v>
      </c>
      <c r="U7" s="46"/>
      <c r="V7" s="52"/>
      <c r="X7" s="1018">
        <v>4</v>
      </c>
      <c r="Y7" s="1019" t="str">
        <f t="shared" si="0"/>
        <v>프라임 화성1</v>
      </c>
      <c r="AD7" s="1" t="str">
        <f>IF(AG7="","",COUNTIFS($AG$4:AG7,AG7))</f>
        <v/>
      </c>
      <c r="AE7" s="1012" t="s">
        <v>399</v>
      </c>
      <c r="AF7" s="1015">
        <f t="shared" si="1"/>
        <v>1</v>
      </c>
      <c r="AG7" s="1" t="str">
        <f t="shared" si="2"/>
        <v/>
      </c>
    </row>
    <row r="8" spans="2:33" ht="30.75" customHeight="1" x14ac:dyDescent="0.3">
      <c r="B8" s="1085"/>
      <c r="C8" s="223"/>
      <c r="D8" s="224"/>
      <c r="E8" s="225"/>
      <c r="F8" s="226"/>
      <c r="G8" s="57"/>
      <c r="H8" s="54"/>
      <c r="I8" s="55"/>
      <c r="J8" s="58"/>
      <c r="K8" s="1003"/>
      <c r="L8" s="418"/>
      <c r="M8" s="419"/>
      <c r="N8" s="1004"/>
      <c r="O8" s="57"/>
      <c r="P8" s="54"/>
      <c r="Q8" s="55"/>
      <c r="R8" s="58"/>
      <c r="S8" s="258"/>
      <c r="T8" s="54"/>
      <c r="U8" s="55"/>
      <c r="V8" s="60"/>
      <c r="X8" s="1018">
        <v>5</v>
      </c>
      <c r="Y8" s="1019" t="str">
        <f t="shared" si="0"/>
        <v>프라임 평택8</v>
      </c>
      <c r="AD8" s="1" t="str">
        <f>IF(AG8="","",COUNTIFS($AG$4:AG8,AG8))</f>
        <v/>
      </c>
      <c r="AE8" s="1012" t="s">
        <v>264</v>
      </c>
      <c r="AF8" s="1015">
        <f t="shared" si="1"/>
        <v>1</v>
      </c>
      <c r="AG8" s="1" t="str">
        <f t="shared" si="2"/>
        <v/>
      </c>
    </row>
    <row r="9" spans="2:33" ht="42" customHeight="1" x14ac:dyDescent="0.3">
      <c r="B9" s="1086"/>
      <c r="C9" s="1121"/>
      <c r="D9" s="1122"/>
      <c r="E9" s="1122"/>
      <c r="F9" s="1123"/>
      <c r="G9" s="1241" t="s">
        <v>693</v>
      </c>
      <c r="H9" s="1189"/>
      <c r="I9" s="1189"/>
      <c r="J9" s="1238"/>
      <c r="K9" s="1102"/>
      <c r="L9" s="1103"/>
      <c r="M9" s="1103"/>
      <c r="N9" s="1109"/>
      <c r="O9" s="1294" t="s">
        <v>634</v>
      </c>
      <c r="P9" s="1295"/>
      <c r="Q9" s="1295"/>
      <c r="R9" s="1296"/>
      <c r="S9" s="1292"/>
      <c r="T9" s="1293"/>
      <c r="U9" s="1293"/>
      <c r="V9" s="1293"/>
      <c r="X9" s="1018">
        <f>X8+1</f>
        <v>6</v>
      </c>
      <c r="Y9" s="1019" t="str">
        <f t="shared" si="0"/>
        <v>프라임 평택3</v>
      </c>
      <c r="AD9" s="1" t="str">
        <f>IF(AG9="","",COUNTIFS($AG$4:AG9,AG9))</f>
        <v/>
      </c>
      <c r="AE9" s="1012" t="s">
        <v>152</v>
      </c>
      <c r="AF9" s="1015">
        <f t="shared" si="1"/>
        <v>1</v>
      </c>
      <c r="AG9" s="1" t="str">
        <f t="shared" si="2"/>
        <v/>
      </c>
    </row>
    <row r="10" spans="2:33" ht="30.75" customHeight="1" x14ac:dyDescent="0.3">
      <c r="B10" s="1087" t="s">
        <v>12</v>
      </c>
      <c r="C10" s="228"/>
      <c r="D10" s="200"/>
      <c r="E10" s="201"/>
      <c r="F10" s="229"/>
      <c r="G10" s="65">
        <v>0.39583333333333331</v>
      </c>
      <c r="H10" s="63" t="s">
        <v>153</v>
      </c>
      <c r="I10" s="64"/>
      <c r="J10" s="66"/>
      <c r="K10" s="65">
        <v>0.39583333333333331</v>
      </c>
      <c r="L10" s="63" t="s">
        <v>216</v>
      </c>
      <c r="M10" s="64"/>
      <c r="N10" s="66"/>
      <c r="O10" s="65">
        <v>0.39583333333333331</v>
      </c>
      <c r="P10" s="63" t="s">
        <v>213</v>
      </c>
      <c r="Q10" s="64"/>
      <c r="R10" s="66"/>
      <c r="S10" s="65">
        <v>0.39583333333333331</v>
      </c>
      <c r="T10" s="63" t="s">
        <v>155</v>
      </c>
      <c r="U10" s="64"/>
      <c r="V10" s="67"/>
      <c r="X10" s="1018">
        <f t="shared" ref="X10" si="3">X9+1</f>
        <v>7</v>
      </c>
      <c r="Y10" s="1019" t="str">
        <f t="shared" si="0"/>
        <v>프라임 평택1</v>
      </c>
      <c r="AD10" s="1" t="str">
        <f>IF(AG10="","",COUNTIFS($AG$4:AG10,AG10))</f>
        <v/>
      </c>
      <c r="AE10" s="1012" t="s">
        <v>180</v>
      </c>
      <c r="AF10" s="1015">
        <f t="shared" si="1"/>
        <v>1</v>
      </c>
      <c r="AG10" s="1" t="str">
        <f t="shared" si="2"/>
        <v/>
      </c>
    </row>
    <row r="11" spans="2:33" ht="30.75" customHeight="1" x14ac:dyDescent="0.3">
      <c r="B11" s="1088"/>
      <c r="C11" s="231"/>
      <c r="D11" s="204"/>
      <c r="E11" s="205"/>
      <c r="F11" s="232"/>
      <c r="G11" s="72"/>
      <c r="H11" s="70"/>
      <c r="I11" s="71"/>
      <c r="J11" s="73"/>
      <c r="K11" s="72">
        <v>0.54166666666666663</v>
      </c>
      <c r="L11" s="70" t="s">
        <v>95</v>
      </c>
      <c r="M11" s="71"/>
      <c r="N11" s="73"/>
      <c r="O11" s="72">
        <v>0.45833333333333331</v>
      </c>
      <c r="P11" s="70" t="s">
        <v>170</v>
      </c>
      <c r="Q11" s="71"/>
      <c r="R11" s="73"/>
      <c r="S11" s="72"/>
      <c r="T11" s="70"/>
      <c r="U11" s="71"/>
      <c r="V11" s="74"/>
      <c r="X11" s="1018">
        <f t="shared" ref="X11:X42" si="4">X10+1</f>
        <v>8</v>
      </c>
      <c r="Y11" s="1019" t="str">
        <f t="shared" si="0"/>
        <v>인슈프라자 인천</v>
      </c>
      <c r="AD11" s="1" t="str">
        <f>IF(AG11="","",COUNTIFS($AG$4:AG11,AG11))</f>
        <v/>
      </c>
      <c r="AE11" s="1012" t="s">
        <v>144</v>
      </c>
      <c r="AF11" s="1015">
        <f t="shared" si="1"/>
        <v>1</v>
      </c>
      <c r="AG11" s="1" t="str">
        <f t="shared" ref="AG11:AG42" si="5">IF(AF11=0,1,"")</f>
        <v/>
      </c>
    </row>
    <row r="12" spans="2:33" ht="30.75" customHeight="1" x14ac:dyDescent="0.3">
      <c r="B12" s="18" t="s">
        <v>13</v>
      </c>
      <c r="C12" s="234"/>
      <c r="D12" s="235"/>
      <c r="E12" s="236"/>
      <c r="F12" s="237"/>
      <c r="G12" s="13"/>
      <c r="H12" s="11"/>
      <c r="I12" s="12"/>
      <c r="J12" s="14"/>
      <c r="K12" s="13"/>
      <c r="L12" s="11"/>
      <c r="M12" s="12"/>
      <c r="N12" s="14"/>
      <c r="O12" s="13"/>
      <c r="P12" s="11"/>
      <c r="Q12" s="12"/>
      <c r="R12" s="14"/>
      <c r="S12" s="15"/>
      <c r="T12" s="11"/>
      <c r="U12" s="12"/>
      <c r="V12" s="17"/>
      <c r="X12" s="1018">
        <f t="shared" si="4"/>
        <v>9</v>
      </c>
      <c r="Y12" s="1019" t="str">
        <f t="shared" si="0"/>
        <v>삼금파 병점</v>
      </c>
      <c r="AD12" s="1" t="str">
        <f>IF(AG12="","",COUNTIFS($AG$4:AG12,AG12))</f>
        <v/>
      </c>
      <c r="AE12" s="1012" t="s">
        <v>261</v>
      </c>
      <c r="AF12" s="1015">
        <f t="shared" si="1"/>
        <v>1</v>
      </c>
      <c r="AG12" s="1" t="str">
        <f t="shared" si="5"/>
        <v/>
      </c>
    </row>
    <row r="13" spans="2:33" ht="30.75" customHeight="1" thickBot="1" x14ac:dyDescent="0.35">
      <c r="B13" s="35" t="s">
        <v>29</v>
      </c>
      <c r="C13" s="2">
        <f>S5+3</f>
        <v>7</v>
      </c>
      <c r="D13" s="3" t="s">
        <v>6</v>
      </c>
      <c r="E13" s="3" t="s">
        <v>7</v>
      </c>
      <c r="F13" s="4" t="s">
        <v>8</v>
      </c>
      <c r="G13" s="5">
        <f>C13+1</f>
        <v>8</v>
      </c>
      <c r="H13" s="3" t="s">
        <v>6</v>
      </c>
      <c r="I13" s="3" t="s">
        <v>7</v>
      </c>
      <c r="J13" s="6" t="s">
        <v>8</v>
      </c>
      <c r="K13" s="5">
        <f>G13+1</f>
        <v>9</v>
      </c>
      <c r="L13" s="3" t="s">
        <v>6</v>
      </c>
      <c r="M13" s="3" t="s">
        <v>7</v>
      </c>
      <c r="N13" s="6" t="s">
        <v>8</v>
      </c>
      <c r="O13" s="5">
        <f>K13+1</f>
        <v>10</v>
      </c>
      <c r="P13" s="3" t="s">
        <v>6</v>
      </c>
      <c r="Q13" s="3" t="s">
        <v>7</v>
      </c>
      <c r="R13" s="6" t="s">
        <v>8</v>
      </c>
      <c r="S13" s="5">
        <f>O13+1</f>
        <v>11</v>
      </c>
      <c r="T13" s="3" t="s">
        <v>6</v>
      </c>
      <c r="U13" s="3" t="s">
        <v>7</v>
      </c>
      <c r="V13" s="16" t="s">
        <v>8</v>
      </c>
      <c r="X13" s="1018">
        <f t="shared" si="4"/>
        <v>10</v>
      </c>
      <c r="Y13" s="1019" t="str">
        <f t="shared" si="0"/>
        <v>인카 다이렉트비전</v>
      </c>
      <c r="AD13" s="1" t="str">
        <f>IF(AG13="","",COUNTIFS($AG$4:AG13,AG13))</f>
        <v/>
      </c>
      <c r="AE13" s="1012" t="s">
        <v>213</v>
      </c>
      <c r="AF13" s="1015">
        <f t="shared" si="1"/>
        <v>1</v>
      </c>
      <c r="AG13" s="1" t="str">
        <f t="shared" si="5"/>
        <v/>
      </c>
    </row>
    <row r="14" spans="2:33" ht="30.75" customHeight="1" thickTop="1" x14ac:dyDescent="0.3">
      <c r="B14" s="1085" t="s">
        <v>9</v>
      </c>
      <c r="C14" s="36">
        <v>0.375</v>
      </c>
      <c r="D14" s="37" t="s">
        <v>284</v>
      </c>
      <c r="E14" s="38"/>
      <c r="F14" s="39"/>
      <c r="G14" s="40">
        <v>0.39583333333333331</v>
      </c>
      <c r="H14" s="997" t="s">
        <v>171</v>
      </c>
      <c r="I14" s="38"/>
      <c r="J14" s="41"/>
      <c r="K14" s="40">
        <v>0.375</v>
      </c>
      <c r="L14" s="37" t="s">
        <v>283</v>
      </c>
      <c r="M14" s="38"/>
      <c r="N14" s="41"/>
      <c r="O14" s="40">
        <v>0.375</v>
      </c>
      <c r="P14" s="37" t="s">
        <v>468</v>
      </c>
      <c r="Q14" s="38"/>
      <c r="R14" s="41"/>
      <c r="S14" s="40">
        <v>0.39583333333333331</v>
      </c>
      <c r="T14" s="37" t="s">
        <v>452</v>
      </c>
      <c r="U14" s="38"/>
      <c r="V14" s="43"/>
      <c r="X14" s="1018">
        <f t="shared" si="4"/>
        <v>11</v>
      </c>
      <c r="Y14" s="1019" t="str">
        <f t="shared" si="0"/>
        <v>인카 가온누리</v>
      </c>
      <c r="AD14" s="1" t="str">
        <f>IF(AG14="","",COUNTIFS($AG$4:AG14,AG14))</f>
        <v/>
      </c>
      <c r="AE14" s="1012" t="s">
        <v>263</v>
      </c>
      <c r="AF14" s="1015">
        <f t="shared" si="1"/>
        <v>1</v>
      </c>
      <c r="AG14" s="1" t="str">
        <f t="shared" si="5"/>
        <v/>
      </c>
    </row>
    <row r="15" spans="2:33" ht="30.75" customHeight="1" x14ac:dyDescent="0.3">
      <c r="B15" s="1085"/>
      <c r="C15" s="240">
        <v>0.45833333333333331</v>
      </c>
      <c r="D15" s="45" t="s">
        <v>205</v>
      </c>
      <c r="E15" s="46"/>
      <c r="F15" s="47"/>
      <c r="G15" s="50">
        <v>0.46527777777777779</v>
      </c>
      <c r="H15" s="45" t="s">
        <v>47</v>
      </c>
      <c r="I15" s="46"/>
      <c r="J15" s="49"/>
      <c r="K15" s="50">
        <v>0.45833333333333331</v>
      </c>
      <c r="L15" s="45" t="s">
        <v>69</v>
      </c>
      <c r="M15" s="46"/>
      <c r="N15" s="49"/>
      <c r="O15" s="50">
        <v>0.41666666666666669</v>
      </c>
      <c r="P15" s="45" t="s">
        <v>164</v>
      </c>
      <c r="Q15" s="46"/>
      <c r="R15" s="49"/>
      <c r="S15" s="1297" t="s">
        <v>684</v>
      </c>
      <c r="T15" s="1298"/>
      <c r="U15" s="1298"/>
      <c r="V15" s="1298"/>
      <c r="X15" s="1018">
        <f t="shared" si="4"/>
        <v>12</v>
      </c>
      <c r="Y15" s="1019" t="str">
        <f t="shared" si="0"/>
        <v>인카 이든</v>
      </c>
      <c r="AD15" s="1" t="str">
        <f>IF(AG15="","",COUNTIFS($AG$4:AG15,AG15))</f>
        <v/>
      </c>
      <c r="AE15" s="1012" t="s">
        <v>265</v>
      </c>
      <c r="AF15" s="1015">
        <f t="shared" si="1"/>
        <v>1</v>
      </c>
      <c r="AG15" s="1" t="str">
        <f t="shared" si="5"/>
        <v/>
      </c>
    </row>
    <row r="16" spans="2:33" ht="30.75" customHeight="1" x14ac:dyDescent="0.3">
      <c r="B16" s="1085"/>
      <c r="C16" s="53"/>
      <c r="D16" s="54"/>
      <c r="E16" s="55"/>
      <c r="F16" s="56"/>
      <c r="G16" s="258">
        <v>0.58333333333333337</v>
      </c>
      <c r="H16" s="54" t="s">
        <v>165</v>
      </c>
      <c r="I16" s="55"/>
      <c r="J16" s="58"/>
      <c r="K16" s="258">
        <v>0.58333333333333337</v>
      </c>
      <c r="L16" s="54" t="s">
        <v>688</v>
      </c>
      <c r="M16" s="55"/>
      <c r="N16" s="58"/>
      <c r="O16" s="258">
        <v>0.45833333333333331</v>
      </c>
      <c r="P16" s="54" t="s">
        <v>660</v>
      </c>
      <c r="Q16" s="55"/>
      <c r="R16" s="58"/>
      <c r="S16" s="1299"/>
      <c r="T16" s="1300"/>
      <c r="U16" s="1300"/>
      <c r="V16" s="1300"/>
      <c r="X16" s="1018">
        <f t="shared" si="4"/>
        <v>13</v>
      </c>
      <c r="Y16" s="1019" t="str">
        <f t="shared" si="0"/>
        <v>인카 스마트평택</v>
      </c>
      <c r="AD16" s="1" t="str">
        <f>IF(AG16="","",COUNTIFS($AG$4:AG16,AG16))</f>
        <v/>
      </c>
      <c r="AE16" s="1012" t="s">
        <v>283</v>
      </c>
      <c r="AF16" s="1015">
        <f t="shared" si="1"/>
        <v>1</v>
      </c>
      <c r="AG16" s="1" t="str">
        <f t="shared" si="5"/>
        <v/>
      </c>
    </row>
    <row r="17" spans="2:33" ht="42" customHeight="1" x14ac:dyDescent="0.3">
      <c r="B17" s="1086"/>
      <c r="C17" s="1284" t="s">
        <v>635</v>
      </c>
      <c r="D17" s="1285"/>
      <c r="E17" s="1285"/>
      <c r="F17" s="1286"/>
      <c r="G17" s="1102"/>
      <c r="H17" s="1103"/>
      <c r="I17" s="1103"/>
      <c r="J17" s="1109"/>
      <c r="K17" s="1102"/>
      <c r="L17" s="1103"/>
      <c r="M17" s="1103"/>
      <c r="N17" s="1109"/>
      <c r="O17" s="1284" t="s">
        <v>692</v>
      </c>
      <c r="P17" s="1285"/>
      <c r="Q17" s="1285"/>
      <c r="R17" s="1286"/>
      <c r="S17" s="1301"/>
      <c r="T17" s="1302"/>
      <c r="U17" s="1302"/>
      <c r="V17" s="1302"/>
      <c r="X17" s="1018">
        <f t="shared" si="4"/>
        <v>14</v>
      </c>
      <c r="Y17" s="1019" t="str">
        <f t="shared" si="0"/>
        <v>더베스트 이재명 수원</v>
      </c>
      <c r="AD17" s="1" t="str">
        <f>IF(AG17="","",COUNTIFS($AG$4:AG17,AG17))</f>
        <v/>
      </c>
      <c r="AE17" s="1012" t="s">
        <v>284</v>
      </c>
      <c r="AF17" s="1015">
        <f t="shared" si="1"/>
        <v>1</v>
      </c>
      <c r="AG17" s="1" t="str">
        <f t="shared" si="5"/>
        <v/>
      </c>
    </row>
    <row r="18" spans="2:33" ht="30.75" customHeight="1" x14ac:dyDescent="0.3">
      <c r="B18" s="1079" t="s">
        <v>12</v>
      </c>
      <c r="C18" s="62">
        <v>0.39583333333333331</v>
      </c>
      <c r="D18" s="63" t="s">
        <v>209</v>
      </c>
      <c r="E18" s="64"/>
      <c r="F18" s="61"/>
      <c r="G18" s="65">
        <v>0.39583333333333331</v>
      </c>
      <c r="H18" s="63" t="s">
        <v>229</v>
      </c>
      <c r="I18" s="64"/>
      <c r="J18" s="66"/>
      <c r="K18" s="65">
        <v>0.39583333333333331</v>
      </c>
      <c r="L18" s="63" t="s">
        <v>149</v>
      </c>
      <c r="M18" s="64"/>
      <c r="N18" s="66"/>
      <c r="O18" s="65">
        <v>0.39583333333333331</v>
      </c>
      <c r="P18" s="63" t="s">
        <v>208</v>
      </c>
      <c r="Q18" s="64"/>
      <c r="R18" s="66"/>
      <c r="S18" s="65">
        <v>0.39583333333333331</v>
      </c>
      <c r="T18" s="63" t="s">
        <v>173</v>
      </c>
      <c r="U18" s="64"/>
      <c r="V18" s="67"/>
      <c r="X18" s="1018">
        <f t="shared" si="4"/>
        <v>15</v>
      </c>
      <c r="Y18" s="1019" t="str">
        <f t="shared" si="0"/>
        <v>더베스트 이재명 당진</v>
      </c>
      <c r="AD18" s="1" t="str">
        <f>IF(AG18="","",COUNTIFS($AG$4:AG18,AG18))</f>
        <v/>
      </c>
      <c r="AE18" s="1012" t="s">
        <v>654</v>
      </c>
      <c r="AF18" s="1015">
        <f t="shared" si="1"/>
        <v>1</v>
      </c>
      <c r="AG18" s="1" t="str">
        <f t="shared" si="5"/>
        <v/>
      </c>
    </row>
    <row r="19" spans="2:33" ht="30.75" customHeight="1" x14ac:dyDescent="0.3">
      <c r="B19" s="1137"/>
      <c r="C19" s="1021">
        <v>0.58333333333333337</v>
      </c>
      <c r="D19" s="464" t="s">
        <v>632</v>
      </c>
      <c r="E19" s="465"/>
      <c r="F19" s="1020"/>
      <c r="G19" s="463">
        <v>0.4375</v>
      </c>
      <c r="H19" s="464" t="s">
        <v>413</v>
      </c>
      <c r="I19" s="465"/>
      <c r="J19" s="468"/>
      <c r="K19" s="463"/>
      <c r="L19" s="464"/>
      <c r="M19" s="465"/>
      <c r="N19" s="468"/>
      <c r="O19" s="463"/>
      <c r="P19" s="464"/>
      <c r="Q19" s="465"/>
      <c r="R19" s="468"/>
      <c r="S19" s="463">
        <v>0.45833333333333331</v>
      </c>
      <c r="T19" s="464" t="s">
        <v>41</v>
      </c>
      <c r="U19" s="465"/>
      <c r="V19" s="466"/>
      <c r="X19" s="1018">
        <f t="shared" si="4"/>
        <v>16</v>
      </c>
      <c r="Y19" s="1019" t="str">
        <f t="shared" si="0"/>
        <v>더베스트 이재명 구미</v>
      </c>
      <c r="AD19" s="1">
        <f>IF(AG19="","",COUNTIFS($AG$4:AG19,AG19))</f>
        <v>1</v>
      </c>
      <c r="AE19" s="1012" t="s">
        <v>361</v>
      </c>
      <c r="AF19" s="1015">
        <f t="shared" si="1"/>
        <v>0</v>
      </c>
      <c r="AG19" s="1">
        <f t="shared" si="5"/>
        <v>1</v>
      </c>
    </row>
    <row r="20" spans="2:33" ht="30.75" customHeight="1" x14ac:dyDescent="0.3">
      <c r="B20" s="1080"/>
      <c r="C20" s="69"/>
      <c r="D20" s="70"/>
      <c r="E20" s="71"/>
      <c r="F20" s="68"/>
      <c r="G20" s="72"/>
      <c r="H20" s="70"/>
      <c r="I20" s="71"/>
      <c r="J20" s="73"/>
      <c r="K20" s="72"/>
      <c r="L20" s="70"/>
      <c r="M20" s="71"/>
      <c r="N20" s="73"/>
      <c r="O20" s="72"/>
      <c r="P20" s="70"/>
      <c r="Q20" s="71"/>
      <c r="R20" s="73"/>
      <c r="S20" s="253">
        <v>0.58333333333333337</v>
      </c>
      <c r="T20" s="251" t="s">
        <v>673</v>
      </c>
      <c r="U20" s="252"/>
      <c r="V20" s="254"/>
      <c r="X20" s="1018">
        <f t="shared" si="4"/>
        <v>17</v>
      </c>
      <c r="Y20" s="1019" t="str">
        <f t="shared" si="0"/>
        <v>더베스트 김효제 향남</v>
      </c>
      <c r="AD20" s="1" t="str">
        <f>IF(AG20="","",COUNTIFS($AG$4:AG20,AG20))</f>
        <v/>
      </c>
      <c r="AE20" s="1012" t="s">
        <v>384</v>
      </c>
      <c r="AF20" s="1015">
        <f t="shared" si="1"/>
        <v>1</v>
      </c>
      <c r="AG20" s="1" t="str">
        <f t="shared" si="5"/>
        <v/>
      </c>
    </row>
    <row r="21" spans="2:33" ht="30.75" customHeight="1" x14ac:dyDescent="0.3">
      <c r="B21" s="9" t="s">
        <v>13</v>
      </c>
      <c r="C21" s="10"/>
      <c r="D21" s="11"/>
      <c r="E21" s="12"/>
      <c r="F21" s="9"/>
      <c r="G21" s="13"/>
      <c r="H21" s="11"/>
      <c r="I21" s="12"/>
      <c r="J21" s="14"/>
      <c r="K21" s="13"/>
      <c r="L21" s="11"/>
      <c r="M21" s="12"/>
      <c r="N21" s="14"/>
      <c r="O21" s="13"/>
      <c r="P21" s="11"/>
      <c r="Q21" s="12"/>
      <c r="R21" s="14"/>
      <c r="S21" s="15"/>
      <c r="T21" s="11"/>
      <c r="U21" s="12"/>
      <c r="V21" s="17"/>
      <c r="X21" s="1018">
        <f t="shared" si="4"/>
        <v>18</v>
      </c>
      <c r="Y21" s="1019" t="str">
        <f t="shared" si="0"/>
        <v>더베스트 김효제 오산</v>
      </c>
      <c r="AD21" s="1">
        <f>IF(AG21="","",COUNTIFS($AG$4:AG21,AG21))</f>
        <v>2</v>
      </c>
      <c r="AE21" s="1013" t="s">
        <v>621</v>
      </c>
      <c r="AF21" s="1015">
        <f t="shared" si="1"/>
        <v>0</v>
      </c>
      <c r="AG21" s="1">
        <f t="shared" si="5"/>
        <v>1</v>
      </c>
    </row>
    <row r="22" spans="2:33" ht="30.75" customHeight="1" thickBot="1" x14ac:dyDescent="0.35">
      <c r="B22" s="35" t="s">
        <v>30</v>
      </c>
      <c r="C22" s="2">
        <f>S13+3</f>
        <v>14</v>
      </c>
      <c r="D22" s="3" t="s">
        <v>6</v>
      </c>
      <c r="E22" s="3" t="s">
        <v>7</v>
      </c>
      <c r="F22" s="4" t="s">
        <v>8</v>
      </c>
      <c r="G22" s="5">
        <f>C22+1</f>
        <v>15</v>
      </c>
      <c r="H22" s="3" t="s">
        <v>6</v>
      </c>
      <c r="I22" s="3" t="s">
        <v>7</v>
      </c>
      <c r="J22" s="6" t="s">
        <v>8</v>
      </c>
      <c r="K22" s="5">
        <f>G22+1</f>
        <v>16</v>
      </c>
      <c r="L22" s="3" t="s">
        <v>6</v>
      </c>
      <c r="M22" s="3" t="s">
        <v>7</v>
      </c>
      <c r="N22" s="6" t="s">
        <v>8</v>
      </c>
      <c r="O22" s="5">
        <f>K22+1</f>
        <v>17</v>
      </c>
      <c r="P22" s="3" t="s">
        <v>6</v>
      </c>
      <c r="Q22" s="3" t="s">
        <v>7</v>
      </c>
      <c r="R22" s="6" t="s">
        <v>8</v>
      </c>
      <c r="S22" s="5">
        <f>O22+1</f>
        <v>18</v>
      </c>
      <c r="T22" s="3" t="s">
        <v>6</v>
      </c>
      <c r="U22" s="3" t="s">
        <v>7</v>
      </c>
      <c r="V22" s="16" t="s">
        <v>8</v>
      </c>
      <c r="X22" s="1018">
        <f t="shared" si="4"/>
        <v>19</v>
      </c>
      <c r="Y22" s="1019" t="str">
        <f t="shared" si="0"/>
        <v>더베스트 김효제 동탄</v>
      </c>
      <c r="AD22" s="1" t="str">
        <f>IF(AG22="","",COUNTIFS($AG$4:AG22,AG22))</f>
        <v/>
      </c>
      <c r="AE22" s="1013" t="s">
        <v>205</v>
      </c>
      <c r="AF22" s="1015">
        <f t="shared" si="1"/>
        <v>1</v>
      </c>
      <c r="AG22" s="1" t="str">
        <f t="shared" si="5"/>
        <v/>
      </c>
    </row>
    <row r="23" spans="2:33" ht="30.75" customHeight="1" thickTop="1" x14ac:dyDescent="0.3">
      <c r="B23" s="1085" t="s">
        <v>9</v>
      </c>
      <c r="C23" s="36">
        <v>0.39583333333333331</v>
      </c>
      <c r="D23" s="37" t="s">
        <v>206</v>
      </c>
      <c r="E23" s="38"/>
      <c r="F23" s="39"/>
      <c r="G23" s="613">
        <v>0.375</v>
      </c>
      <c r="H23" s="614" t="s">
        <v>491</v>
      </c>
      <c r="I23" s="615"/>
      <c r="J23" s="1030"/>
      <c r="K23" s="40">
        <v>0.375</v>
      </c>
      <c r="L23" s="37" t="s">
        <v>654</v>
      </c>
      <c r="M23" s="38"/>
      <c r="N23" s="41"/>
      <c r="O23" s="40">
        <v>0.39583333333333331</v>
      </c>
      <c r="P23" s="37" t="s">
        <v>141</v>
      </c>
      <c r="Q23" s="38"/>
      <c r="R23" s="41"/>
      <c r="S23" s="40">
        <v>0.40277777777777779</v>
      </c>
      <c r="T23" s="37" t="s">
        <v>265</v>
      </c>
      <c r="U23" s="38"/>
      <c r="V23" s="43"/>
      <c r="X23" s="1018">
        <f t="shared" si="4"/>
        <v>20</v>
      </c>
      <c r="Y23" s="1019" t="str">
        <f t="shared" si="0"/>
        <v>더베스트 김효제 경기프리미엄</v>
      </c>
      <c r="AD23" s="1">
        <f>IF(AG23="","",COUNTIFS($AG$4:AG23,AG23))</f>
        <v>3</v>
      </c>
      <c r="AE23" s="1013" t="s">
        <v>140</v>
      </c>
      <c r="AF23" s="1015">
        <f t="shared" si="1"/>
        <v>0</v>
      </c>
      <c r="AG23" s="1">
        <f t="shared" si="5"/>
        <v>1</v>
      </c>
    </row>
    <row r="24" spans="2:33" ht="30.75" customHeight="1" x14ac:dyDescent="0.3">
      <c r="B24" s="1085"/>
      <c r="C24" s="240">
        <v>0.45833333333333331</v>
      </c>
      <c r="D24" s="45" t="s">
        <v>681</v>
      </c>
      <c r="E24" s="46"/>
      <c r="F24" s="47"/>
      <c r="G24" s="50">
        <v>0.5</v>
      </c>
      <c r="H24" s="45" t="s">
        <v>695</v>
      </c>
      <c r="I24" s="46"/>
      <c r="J24" s="49"/>
      <c r="K24" s="1026">
        <v>0.45833333333333331</v>
      </c>
      <c r="L24" s="1027" t="s">
        <v>699</v>
      </c>
      <c r="M24" s="1028"/>
      <c r="N24" s="1029"/>
      <c r="O24" s="50">
        <v>0.60416666666666663</v>
      </c>
      <c r="P24" s="45" t="s">
        <v>690</v>
      </c>
      <c r="Q24" s="46"/>
      <c r="R24" s="49"/>
      <c r="S24" s="50"/>
      <c r="T24" s="45"/>
      <c r="U24" s="46"/>
      <c r="V24" s="52"/>
      <c r="X24" s="1018">
        <f t="shared" si="4"/>
        <v>21</v>
      </c>
      <c r="Y24" s="1019" t="str">
        <f t="shared" si="0"/>
        <v>더베스트 김효제 경기VIP</v>
      </c>
      <c r="AD24" s="1" t="str">
        <f>IF(AG24="","",COUNTIFS($AG$4:AG24,AG24))</f>
        <v/>
      </c>
      <c r="AE24" s="1012" t="s">
        <v>95</v>
      </c>
      <c r="AF24" s="1015">
        <f t="shared" si="1"/>
        <v>1</v>
      </c>
      <c r="AG24" s="1" t="str">
        <f t="shared" si="5"/>
        <v/>
      </c>
    </row>
    <row r="25" spans="2:33" ht="30.75" customHeight="1" x14ac:dyDescent="0.3">
      <c r="B25" s="1085"/>
      <c r="C25" s="1031">
        <v>0.58333333333333337</v>
      </c>
      <c r="D25" s="1032" t="s">
        <v>698</v>
      </c>
      <c r="E25" s="1033"/>
      <c r="F25" s="1034"/>
      <c r="G25" s="57"/>
      <c r="H25" s="54"/>
      <c r="I25" s="55"/>
      <c r="J25" s="58"/>
      <c r="K25" s="57"/>
      <c r="L25" s="54"/>
      <c r="M25" s="55"/>
      <c r="N25" s="58"/>
      <c r="O25" s="57"/>
      <c r="P25" s="54"/>
      <c r="Q25" s="55"/>
      <c r="R25" s="58"/>
      <c r="S25" s="57"/>
      <c r="T25" s="54"/>
      <c r="U25" s="55"/>
      <c r="V25" s="60"/>
      <c r="X25" s="1018">
        <f t="shared" si="4"/>
        <v>22</v>
      </c>
      <c r="Y25" s="1019" t="str">
        <f t="shared" si="0"/>
        <v>더베스트 김효제 경기AS</v>
      </c>
      <c r="AD25" s="1" t="str">
        <f>IF(AG25="","",COUNTIFS($AG$4:AG25,AG25))</f>
        <v/>
      </c>
      <c r="AE25" s="1014" t="s">
        <v>655</v>
      </c>
      <c r="AF25" s="1015">
        <f t="shared" si="1"/>
        <v>1</v>
      </c>
      <c r="AG25" s="1" t="str">
        <f t="shared" si="5"/>
        <v/>
      </c>
    </row>
    <row r="26" spans="2:33" ht="42" customHeight="1" x14ac:dyDescent="0.3">
      <c r="B26" s="1086"/>
      <c r="C26" s="1108"/>
      <c r="D26" s="1103"/>
      <c r="E26" s="1103"/>
      <c r="F26" s="1109"/>
      <c r="G26" s="1289" t="s">
        <v>694</v>
      </c>
      <c r="H26" s="1290"/>
      <c r="I26" s="1290"/>
      <c r="J26" s="1291"/>
      <c r="K26" s="1102"/>
      <c r="L26" s="1103"/>
      <c r="M26" s="1103"/>
      <c r="N26" s="1109"/>
      <c r="O26" s="1284" t="s">
        <v>691</v>
      </c>
      <c r="P26" s="1285"/>
      <c r="Q26" s="1285"/>
      <c r="R26" s="1286"/>
      <c r="S26" s="1279"/>
      <c r="T26" s="1280"/>
      <c r="U26" s="1280"/>
      <c r="V26" s="1280"/>
      <c r="X26" s="1018">
        <f t="shared" si="4"/>
        <v>23</v>
      </c>
      <c r="Y26" s="1019" t="str">
        <f t="shared" si="0"/>
        <v>엠금융 프레시어스</v>
      </c>
      <c r="AD26" s="1" t="str">
        <f>IF(AG26="","",COUNTIFS($AG$4:AG26,AG26))</f>
        <v/>
      </c>
      <c r="AE26" s="1014" t="s">
        <v>656</v>
      </c>
      <c r="AF26" s="1015">
        <f t="shared" si="1"/>
        <v>1</v>
      </c>
      <c r="AG26" s="1" t="str">
        <f t="shared" si="5"/>
        <v/>
      </c>
    </row>
    <row r="27" spans="2:33" ht="30.75" customHeight="1" x14ac:dyDescent="0.3">
      <c r="B27" s="1079" t="s">
        <v>12</v>
      </c>
      <c r="C27" s="62">
        <v>0.39583333333333331</v>
      </c>
      <c r="D27" s="63" t="s">
        <v>321</v>
      </c>
      <c r="E27" s="64"/>
      <c r="F27" s="61"/>
      <c r="G27" s="617">
        <v>0.39583333333333331</v>
      </c>
      <c r="H27" s="618" t="s">
        <v>72</v>
      </c>
      <c r="I27" s="619"/>
      <c r="J27" s="620"/>
      <c r="K27" s="65">
        <v>0.375</v>
      </c>
      <c r="L27" s="63" t="s">
        <v>384</v>
      </c>
      <c r="M27" s="64"/>
      <c r="N27" s="66"/>
      <c r="O27" s="1287" t="s">
        <v>682</v>
      </c>
      <c r="P27" s="1288"/>
      <c r="Q27" s="1288"/>
      <c r="R27" s="1288"/>
      <c r="S27" s="1288"/>
      <c r="T27" s="1288"/>
      <c r="U27" s="1288"/>
      <c r="V27" s="1288"/>
      <c r="X27" s="1018">
        <f t="shared" si="4"/>
        <v>24</v>
      </c>
      <c r="Y27" s="1019" t="str">
        <f t="shared" si="0"/>
        <v>엠금융 더클래스</v>
      </c>
      <c r="AD27" s="1">
        <f>IF(AG27="","",COUNTIFS($AG$4:AG27,AG27))</f>
        <v>4</v>
      </c>
      <c r="AE27" s="1014" t="s">
        <v>657</v>
      </c>
      <c r="AF27" s="1015">
        <f t="shared" si="1"/>
        <v>0</v>
      </c>
      <c r="AG27" s="1">
        <f t="shared" si="5"/>
        <v>1</v>
      </c>
    </row>
    <row r="28" spans="2:33" ht="30.75" customHeight="1" x14ac:dyDescent="0.3">
      <c r="B28" s="1080"/>
      <c r="C28" s="69">
        <v>0.46527777777777779</v>
      </c>
      <c r="D28" s="70" t="s">
        <v>455</v>
      </c>
      <c r="E28" s="71"/>
      <c r="F28" s="68"/>
      <c r="G28" s="819">
        <v>0.4375</v>
      </c>
      <c r="H28" s="820" t="s">
        <v>700</v>
      </c>
      <c r="I28" s="821"/>
      <c r="J28" s="822"/>
      <c r="K28" s="72">
        <v>0.60416666666666663</v>
      </c>
      <c r="L28" s="70" t="s">
        <v>106</v>
      </c>
      <c r="M28" s="71"/>
      <c r="N28" s="73"/>
      <c r="O28" s="1255"/>
      <c r="P28" s="1256"/>
      <c r="Q28" s="1256"/>
      <c r="R28" s="1256"/>
      <c r="S28" s="1256"/>
      <c r="T28" s="1256"/>
      <c r="U28" s="1256"/>
      <c r="V28" s="1256"/>
      <c r="X28" s="1018">
        <f t="shared" si="4"/>
        <v>25</v>
      </c>
      <c r="Y28" s="1019" t="str">
        <f t="shared" si="0"/>
        <v>KGA 오산</v>
      </c>
      <c r="AD28" s="1">
        <f>IF(AG28="","",COUNTIFS($AG$4:AG28,AG28))</f>
        <v>5</v>
      </c>
      <c r="AE28" s="1012" t="s">
        <v>238</v>
      </c>
      <c r="AF28" s="1015">
        <f t="shared" si="1"/>
        <v>0</v>
      </c>
      <c r="AG28" s="1">
        <f t="shared" si="5"/>
        <v>1</v>
      </c>
    </row>
    <row r="29" spans="2:33" ht="30.75" customHeight="1" x14ac:dyDescent="0.3">
      <c r="B29" s="9" t="s">
        <v>13</v>
      </c>
      <c r="C29" s="10"/>
      <c r="D29" s="11"/>
      <c r="E29" s="12"/>
      <c r="F29" s="9"/>
      <c r="G29" s="13"/>
      <c r="H29" s="11"/>
      <c r="I29" s="12"/>
      <c r="J29" s="14"/>
      <c r="K29" s="13"/>
      <c r="L29" s="11"/>
      <c r="M29" s="12"/>
      <c r="N29" s="14"/>
      <c r="O29" s="13"/>
      <c r="P29" s="11"/>
      <c r="Q29" s="12"/>
      <c r="R29" s="14"/>
      <c r="S29" s="15"/>
      <c r="T29" s="11"/>
      <c r="U29" s="12"/>
      <c r="V29" s="17"/>
      <c r="X29" s="1018">
        <f t="shared" si="4"/>
        <v>26</v>
      </c>
      <c r="Y29" s="1019" t="str">
        <f t="shared" si="0"/>
        <v>KGA 엠디</v>
      </c>
      <c r="AD29" s="1">
        <f>IF(AG29="","",COUNTIFS($AG$4:AG29,AG29))</f>
        <v>6</v>
      </c>
      <c r="AE29" s="1012" t="s">
        <v>294</v>
      </c>
      <c r="AF29" s="1015">
        <f t="shared" si="1"/>
        <v>0</v>
      </c>
      <c r="AG29" s="1">
        <f t="shared" si="5"/>
        <v>1</v>
      </c>
    </row>
    <row r="30" spans="2:33" ht="30.75" customHeight="1" thickBot="1" x14ac:dyDescent="0.35">
      <c r="B30" s="35" t="s">
        <v>31</v>
      </c>
      <c r="C30" s="2">
        <f>S22+3</f>
        <v>21</v>
      </c>
      <c r="D30" s="3" t="s">
        <v>6</v>
      </c>
      <c r="E30" s="3" t="s">
        <v>7</v>
      </c>
      <c r="F30" s="4" t="s">
        <v>8</v>
      </c>
      <c r="G30" s="5">
        <f>C30+1</f>
        <v>22</v>
      </c>
      <c r="H30" s="3" t="s">
        <v>6</v>
      </c>
      <c r="I30" s="3" t="s">
        <v>7</v>
      </c>
      <c r="J30" s="6" t="s">
        <v>8</v>
      </c>
      <c r="K30" s="5">
        <f>G30+1</f>
        <v>23</v>
      </c>
      <c r="L30" s="3" t="s">
        <v>6</v>
      </c>
      <c r="M30" s="3" t="s">
        <v>7</v>
      </c>
      <c r="N30" s="6" t="s">
        <v>8</v>
      </c>
      <c r="O30" s="5">
        <f>K30+1</f>
        <v>24</v>
      </c>
      <c r="P30" s="3" t="s">
        <v>6</v>
      </c>
      <c r="Q30" s="3" t="s">
        <v>7</v>
      </c>
      <c r="R30" s="6" t="s">
        <v>8</v>
      </c>
      <c r="S30" s="5">
        <f>O30+1</f>
        <v>25</v>
      </c>
      <c r="T30" s="3" t="s">
        <v>6</v>
      </c>
      <c r="U30" s="3" t="s">
        <v>7</v>
      </c>
      <c r="V30" s="16" t="s">
        <v>8</v>
      </c>
      <c r="X30" s="1018">
        <f t="shared" si="4"/>
        <v>27</v>
      </c>
      <c r="Y30" s="1019" t="str">
        <f t="shared" si="0"/>
        <v>GAK 엠파이어평택</v>
      </c>
      <c r="AD30" s="1">
        <f>IF(AG30="","",COUNTIFS($AG$4:AG30,AG30))</f>
        <v>7</v>
      </c>
      <c r="AE30" s="1012" t="s">
        <v>658</v>
      </c>
      <c r="AF30" s="1015">
        <f t="shared" si="1"/>
        <v>0</v>
      </c>
      <c r="AG30" s="1">
        <f t="shared" si="5"/>
        <v>1</v>
      </c>
    </row>
    <row r="31" spans="2:33" ht="30.75" customHeight="1" thickTop="1" x14ac:dyDescent="0.3">
      <c r="B31" s="1085" t="s">
        <v>9</v>
      </c>
      <c r="C31" s="36">
        <v>0.41666666666666669</v>
      </c>
      <c r="D31" s="37" t="s">
        <v>630</v>
      </c>
      <c r="E31" s="38"/>
      <c r="F31" s="39"/>
      <c r="G31" s="40">
        <v>0.39583333333333331</v>
      </c>
      <c r="H31" s="37" t="s">
        <v>637</v>
      </c>
      <c r="I31" s="38"/>
      <c r="J31" s="41"/>
      <c r="K31" s="40"/>
      <c r="L31" s="37"/>
      <c r="M31" s="38"/>
      <c r="N31" s="41"/>
      <c r="O31" s="212"/>
      <c r="P31" s="213"/>
      <c r="Q31" s="214"/>
      <c r="R31" s="215"/>
      <c r="S31" s="212"/>
      <c r="T31" s="213"/>
      <c r="U31" s="214"/>
      <c r="V31" s="216"/>
      <c r="X31" s="1018">
        <f t="shared" si="4"/>
        <v>28</v>
      </c>
      <c r="Y31" s="1019" t="str">
        <f t="shared" si="0"/>
        <v>GAK 다온드림투</v>
      </c>
      <c r="AD31" s="1" t="str">
        <f>IF(AG31="","",COUNTIFS($AG$4:AG31,AG31))</f>
        <v/>
      </c>
      <c r="AE31" s="1014" t="s">
        <v>72</v>
      </c>
      <c r="AF31" s="1015">
        <f t="shared" si="1"/>
        <v>1</v>
      </c>
      <c r="AG31" s="1" t="str">
        <f t="shared" si="5"/>
        <v/>
      </c>
    </row>
    <row r="32" spans="2:33" ht="30.75" customHeight="1" x14ac:dyDescent="0.3">
      <c r="B32" s="1085"/>
      <c r="C32" s="44"/>
      <c r="D32" s="45"/>
      <c r="E32" s="46"/>
      <c r="F32" s="47"/>
      <c r="G32" s="1026">
        <v>0.45833333333333331</v>
      </c>
      <c r="H32" s="1027" t="s">
        <v>697</v>
      </c>
      <c r="I32" s="1028"/>
      <c r="J32" s="1029"/>
      <c r="K32" s="50"/>
      <c r="L32" s="45"/>
      <c r="M32" s="46"/>
      <c r="N32" s="49"/>
      <c r="O32" s="217"/>
      <c r="P32" s="218"/>
      <c r="Q32" s="219"/>
      <c r="R32" s="220"/>
      <c r="S32" s="221"/>
      <c r="T32" s="218"/>
      <c r="U32" s="219"/>
      <c r="V32" s="222"/>
      <c r="X32" s="1018">
        <f t="shared" si="4"/>
        <v>29</v>
      </c>
      <c r="Y32" s="1019" t="str">
        <f t="shared" si="0"/>
        <v>GAK 다성재무</v>
      </c>
      <c r="AD32" s="1" t="str">
        <f>IF(AG32="","",COUNTIFS($AG$4:AG32,AG32))</f>
        <v/>
      </c>
      <c r="AE32" s="1014" t="s">
        <v>452</v>
      </c>
      <c r="AF32" s="1015">
        <f t="shared" si="1"/>
        <v>1</v>
      </c>
      <c r="AG32" s="1" t="str">
        <f t="shared" si="5"/>
        <v/>
      </c>
    </row>
    <row r="33" spans="2:33" ht="30.75" customHeight="1" x14ac:dyDescent="0.3">
      <c r="B33" s="1085"/>
      <c r="C33" s="53"/>
      <c r="D33" s="54"/>
      <c r="E33" s="55"/>
      <c r="F33" s="56"/>
      <c r="G33" s="57"/>
      <c r="H33" s="54"/>
      <c r="I33" s="55"/>
      <c r="J33" s="58"/>
      <c r="K33" s="57"/>
      <c r="L33" s="54"/>
      <c r="M33" s="55"/>
      <c r="N33" s="58"/>
      <c r="O33" s="223"/>
      <c r="P33" s="224"/>
      <c r="Q33" s="225"/>
      <c r="R33" s="226"/>
      <c r="S33" s="223"/>
      <c r="T33" s="224"/>
      <c r="U33" s="225"/>
      <c r="V33" s="227"/>
      <c r="X33" s="1018">
        <f t="shared" si="4"/>
        <v>30</v>
      </c>
      <c r="Y33" s="1019" t="str">
        <f t="shared" si="0"/>
        <v>GAK 해피오산세교</v>
      </c>
      <c r="AD33" s="1" t="str">
        <f>IF(AG33="","",COUNTIFS($AG$4:AG33,AG33))</f>
        <v/>
      </c>
      <c r="AE33" s="1014" t="s">
        <v>659</v>
      </c>
      <c r="AF33" s="1015">
        <f t="shared" si="1"/>
        <v>1</v>
      </c>
      <c r="AG33" s="1" t="str">
        <f t="shared" si="5"/>
        <v/>
      </c>
    </row>
    <row r="34" spans="2:33" ht="42" customHeight="1" x14ac:dyDescent="0.3">
      <c r="B34" s="1086"/>
      <c r="C34" s="1281" t="s">
        <v>689</v>
      </c>
      <c r="D34" s="1282"/>
      <c r="E34" s="1282"/>
      <c r="F34" s="1283"/>
      <c r="G34" s="1102"/>
      <c r="H34" s="1103"/>
      <c r="I34" s="1103"/>
      <c r="J34" s="1109"/>
      <c r="K34" s="1102"/>
      <c r="L34" s="1103"/>
      <c r="M34" s="1103"/>
      <c r="N34" s="1109"/>
      <c r="O34" s="1121"/>
      <c r="P34" s="1122"/>
      <c r="Q34" s="1122"/>
      <c r="R34" s="1123"/>
      <c r="S34" s="1121"/>
      <c r="T34" s="1122"/>
      <c r="U34" s="1122"/>
      <c r="V34" s="1122"/>
      <c r="X34" s="1018">
        <f t="shared" si="4"/>
        <v>31</v>
      </c>
      <c r="Y34" s="1019" t="str">
        <f t="shared" si="0"/>
        <v>GAK 엠파이어라이프엣지</v>
      </c>
      <c r="AD34" s="1" t="str">
        <f>IF(AG34="","",COUNTIFS($AG$4:AG34,AG34))</f>
        <v/>
      </c>
      <c r="AE34" s="1014" t="s">
        <v>660</v>
      </c>
      <c r="AF34" s="1015">
        <f t="shared" si="1"/>
        <v>1</v>
      </c>
      <c r="AG34" s="1" t="str">
        <f t="shared" si="5"/>
        <v/>
      </c>
    </row>
    <row r="35" spans="2:33" ht="30.75" customHeight="1" x14ac:dyDescent="0.3">
      <c r="B35" s="1079" t="s">
        <v>12</v>
      </c>
      <c r="C35" s="62">
        <v>0.38541666666666669</v>
      </c>
      <c r="D35" s="63" t="s">
        <v>94</v>
      </c>
      <c r="E35" s="64"/>
      <c r="F35" s="61"/>
      <c r="G35" s="65">
        <v>0.39583333333333331</v>
      </c>
      <c r="H35" s="63" t="s">
        <v>184</v>
      </c>
      <c r="I35" s="64"/>
      <c r="J35" s="66"/>
      <c r="K35" s="65"/>
      <c r="L35" s="63"/>
      <c r="M35" s="64"/>
      <c r="N35" s="66"/>
      <c r="O35" s="228"/>
      <c r="P35" s="200"/>
      <c r="Q35" s="201"/>
      <c r="R35" s="229"/>
      <c r="S35" s="228"/>
      <c r="T35" s="200"/>
      <c r="U35" s="201"/>
      <c r="V35" s="230"/>
      <c r="X35" s="1018">
        <f t="shared" si="4"/>
        <v>32</v>
      </c>
      <c r="Y35" s="1019" t="str">
        <f t="shared" si="0"/>
        <v>GAK 에셋마스터오케이</v>
      </c>
      <c r="AD35" s="1" t="str">
        <f>IF(AG35="","",COUNTIFS($AG$4:AG35,AG35))</f>
        <v/>
      </c>
      <c r="AE35" s="1014" t="s">
        <v>433</v>
      </c>
      <c r="AF35" s="1015">
        <f t="shared" si="1"/>
        <v>1</v>
      </c>
      <c r="AG35" s="1" t="str">
        <f t="shared" si="5"/>
        <v/>
      </c>
    </row>
    <row r="36" spans="2:33" ht="30.75" customHeight="1" x14ac:dyDescent="0.3">
      <c r="B36" s="1080"/>
      <c r="C36" s="69">
        <v>0.4236111111111111</v>
      </c>
      <c r="D36" s="70" t="s">
        <v>683</v>
      </c>
      <c r="E36" s="71"/>
      <c r="F36" s="68"/>
      <c r="G36" s="72"/>
      <c r="H36" s="70"/>
      <c r="I36" s="71"/>
      <c r="J36" s="73"/>
      <c r="K36" s="72"/>
      <c r="L36" s="70"/>
      <c r="M36" s="71"/>
      <c r="N36" s="73"/>
      <c r="O36" s="231"/>
      <c r="P36" s="204"/>
      <c r="Q36" s="205"/>
      <c r="R36" s="232"/>
      <c r="S36" s="231"/>
      <c r="T36" s="204"/>
      <c r="U36" s="205"/>
      <c r="V36" s="233"/>
      <c r="X36" s="1018">
        <f t="shared" si="4"/>
        <v>33</v>
      </c>
      <c r="Y36" s="1019" t="str">
        <f t="shared" ref="Y36:Y67" si="6">VLOOKUP(X36,$AD$4:$AE$111,2,FALSE)</f>
        <v>GAK 에셋마스터싼타티씨</v>
      </c>
      <c r="AD36" s="1" t="str">
        <f>IF(AG36="","",COUNTIFS($AG$4:AG36,AG36))</f>
        <v/>
      </c>
      <c r="AE36" s="1012" t="s">
        <v>491</v>
      </c>
      <c r="AF36" s="1015">
        <f t="shared" ref="AF36:AF67" si="7">COUNTIFS($B$3:$V$46,AE36)</f>
        <v>1</v>
      </c>
      <c r="AG36" s="1" t="str">
        <f t="shared" si="5"/>
        <v/>
      </c>
    </row>
    <row r="37" spans="2:33" ht="30.75" customHeight="1" x14ac:dyDescent="0.3">
      <c r="B37" s="9" t="s">
        <v>13</v>
      </c>
      <c r="C37" s="10"/>
      <c r="D37" s="11"/>
      <c r="E37" s="12"/>
      <c r="F37" s="9"/>
      <c r="G37" s="13"/>
      <c r="H37" s="11"/>
      <c r="I37" s="12"/>
      <c r="J37" s="14"/>
      <c r="K37" s="13"/>
      <c r="L37" s="11"/>
      <c r="M37" s="12"/>
      <c r="N37" s="14"/>
      <c r="O37" s="234"/>
      <c r="P37" s="235"/>
      <c r="Q37" s="236"/>
      <c r="R37" s="237"/>
      <c r="S37" s="238"/>
      <c r="T37" s="235"/>
      <c r="U37" s="236"/>
      <c r="V37" s="239"/>
      <c r="X37" s="1018">
        <f t="shared" si="4"/>
        <v>34</v>
      </c>
      <c r="Y37" s="1019" t="str">
        <f t="shared" si="6"/>
        <v>GAK 에셋마스터마스타인스</v>
      </c>
      <c r="AD37" s="1">
        <f>IF(AG37="","",COUNTIFS($AG$4:AG37,AG37))</f>
        <v>8</v>
      </c>
      <c r="AE37" s="1012" t="s">
        <v>638</v>
      </c>
      <c r="AF37" s="1015">
        <f t="shared" si="7"/>
        <v>0</v>
      </c>
      <c r="AG37" s="1">
        <f t="shared" si="5"/>
        <v>1</v>
      </c>
    </row>
    <row r="38" spans="2:33" ht="30.75" customHeight="1" thickBot="1" x14ac:dyDescent="0.35">
      <c r="B38" s="35" t="s">
        <v>32</v>
      </c>
      <c r="C38" s="2">
        <f>S30+3</f>
        <v>28</v>
      </c>
      <c r="D38" s="3" t="s">
        <v>6</v>
      </c>
      <c r="E38" s="3" t="s">
        <v>7</v>
      </c>
      <c r="F38" s="4" t="s">
        <v>8</v>
      </c>
      <c r="G38" s="5">
        <f>C38+1</f>
        <v>29</v>
      </c>
      <c r="H38" s="3" t="s">
        <v>6</v>
      </c>
      <c r="I38" s="3" t="s">
        <v>7</v>
      </c>
      <c r="J38" s="6" t="s">
        <v>8</v>
      </c>
      <c r="K38" s="5">
        <f>G38+1</f>
        <v>30</v>
      </c>
      <c r="L38" s="3" t="s">
        <v>6</v>
      </c>
      <c r="M38" s="3" t="s">
        <v>7</v>
      </c>
      <c r="N38" s="6" t="s">
        <v>8</v>
      </c>
      <c r="O38" s="208"/>
      <c r="P38" s="209"/>
      <c r="Q38" s="209"/>
      <c r="R38" s="210"/>
      <c r="S38" s="208"/>
      <c r="T38" s="209"/>
      <c r="U38" s="209"/>
      <c r="V38" s="211"/>
      <c r="X38" s="1018">
        <f t="shared" si="4"/>
        <v>35</v>
      </c>
      <c r="Y38" s="1019" t="str">
        <f t="shared" si="6"/>
        <v>GAK 새파랑다옴</v>
      </c>
      <c r="AD38" s="1" t="str">
        <f>IF(AG38="","",COUNTIFS($AG$4:AG38,AG38))</f>
        <v/>
      </c>
      <c r="AE38" s="1012" t="s">
        <v>637</v>
      </c>
      <c r="AF38" s="1015">
        <f t="shared" si="7"/>
        <v>1</v>
      </c>
      <c r="AG38" s="1" t="str">
        <f t="shared" si="5"/>
        <v/>
      </c>
    </row>
    <row r="39" spans="2:33" ht="30.75" customHeight="1" thickTop="1" x14ac:dyDescent="0.3">
      <c r="B39" s="1085" t="s">
        <v>9</v>
      </c>
      <c r="C39" s="36"/>
      <c r="D39" s="37"/>
      <c r="E39" s="38"/>
      <c r="F39" s="39"/>
      <c r="G39" s="40"/>
      <c r="H39" s="37"/>
      <c r="I39" s="38"/>
      <c r="J39" s="41"/>
      <c r="K39" s="40"/>
      <c r="L39" s="37"/>
      <c r="M39" s="38"/>
      <c r="N39" s="41"/>
      <c r="O39" s="212"/>
      <c r="P39" s="213"/>
      <c r="Q39" s="214"/>
      <c r="R39" s="215"/>
      <c r="S39" s="212"/>
      <c r="T39" s="213"/>
      <c r="U39" s="214"/>
      <c r="V39" s="216"/>
      <c r="X39" s="1018">
        <f t="shared" si="4"/>
        <v>36</v>
      </c>
      <c r="Y39" s="1019" t="str">
        <f t="shared" si="6"/>
        <v>GAK 케이라이프</v>
      </c>
      <c r="AD39" s="1" t="str">
        <f>IF(AG39="","",COUNTIFS($AG$4:AG39,AG39))</f>
        <v/>
      </c>
      <c r="AE39" s="1012" t="s">
        <v>41</v>
      </c>
      <c r="AF39" s="1015">
        <f t="shared" si="7"/>
        <v>1</v>
      </c>
      <c r="AG39" s="1" t="str">
        <f t="shared" si="5"/>
        <v/>
      </c>
    </row>
    <row r="40" spans="2:33" ht="30.75" customHeight="1" x14ac:dyDescent="0.3">
      <c r="B40" s="1085"/>
      <c r="C40" s="44"/>
      <c r="D40" s="45"/>
      <c r="E40" s="46"/>
      <c r="F40" s="47"/>
      <c r="G40" s="48"/>
      <c r="H40" s="45"/>
      <c r="I40" s="46"/>
      <c r="J40" s="49"/>
      <c r="K40" s="48"/>
      <c r="L40" s="45"/>
      <c r="M40" s="46"/>
      <c r="N40" s="49"/>
      <c r="O40" s="221"/>
      <c r="P40" s="218"/>
      <c r="Q40" s="219"/>
      <c r="R40" s="220"/>
      <c r="S40" s="221"/>
      <c r="T40" s="218"/>
      <c r="U40" s="219"/>
      <c r="V40" s="222"/>
      <c r="X40" s="1018">
        <f t="shared" si="4"/>
        <v>37</v>
      </c>
      <c r="Y40" s="1019" t="str">
        <f t="shared" si="6"/>
        <v>유퍼스트 오산</v>
      </c>
      <c r="AD40" s="1">
        <f>IF(AG40="","",COUNTIFS($AG$4:AG40,AG40))</f>
        <v>9</v>
      </c>
      <c r="AE40" s="1012" t="s">
        <v>662</v>
      </c>
      <c r="AF40" s="1015">
        <f t="shared" si="7"/>
        <v>0</v>
      </c>
      <c r="AG40" s="1">
        <f t="shared" si="5"/>
        <v>1</v>
      </c>
    </row>
    <row r="41" spans="2:33" ht="30.75" customHeight="1" x14ac:dyDescent="0.3">
      <c r="B41" s="1085"/>
      <c r="C41" s="53"/>
      <c r="D41" s="54"/>
      <c r="E41" s="55"/>
      <c r="F41" s="56"/>
      <c r="G41" s="57"/>
      <c r="H41" s="54"/>
      <c r="I41" s="55"/>
      <c r="J41" s="58"/>
      <c r="K41" s="57"/>
      <c r="L41" s="54"/>
      <c r="M41" s="55"/>
      <c r="N41" s="58"/>
      <c r="O41" s="223"/>
      <c r="P41" s="224"/>
      <c r="Q41" s="225"/>
      <c r="R41" s="226"/>
      <c r="S41" s="223"/>
      <c r="T41" s="224"/>
      <c r="U41" s="225"/>
      <c r="V41" s="227"/>
      <c r="X41" s="1018">
        <f t="shared" si="4"/>
        <v>38</v>
      </c>
      <c r="Y41" s="1019" t="str">
        <f t="shared" si="6"/>
        <v>엑셀금융서비스(주) 평택사업단</v>
      </c>
      <c r="AD41" s="1" t="str">
        <f>IF(AG41="","",COUNTIFS($AG$4:AG41,AG41))</f>
        <v/>
      </c>
      <c r="AE41" s="1012" t="s">
        <v>94</v>
      </c>
      <c r="AF41" s="1015">
        <f t="shared" si="7"/>
        <v>1</v>
      </c>
      <c r="AG41" s="1" t="str">
        <f t="shared" si="5"/>
        <v/>
      </c>
    </row>
    <row r="42" spans="2:33" ht="42" customHeight="1" x14ac:dyDescent="0.3">
      <c r="B42" s="1086"/>
      <c r="C42" s="1108"/>
      <c r="D42" s="1103"/>
      <c r="E42" s="1103"/>
      <c r="F42" s="1109"/>
      <c r="G42" s="1276" t="s">
        <v>685</v>
      </c>
      <c r="H42" s="1277"/>
      <c r="I42" s="1277"/>
      <c r="J42" s="1278"/>
      <c r="K42" s="1276" t="s">
        <v>686</v>
      </c>
      <c r="L42" s="1277"/>
      <c r="M42" s="1277"/>
      <c r="N42" s="1278"/>
      <c r="O42" s="1121"/>
      <c r="P42" s="1122"/>
      <c r="Q42" s="1122"/>
      <c r="R42" s="1123"/>
      <c r="S42" s="1121"/>
      <c r="T42" s="1122"/>
      <c r="U42" s="1122"/>
      <c r="V42" s="1122"/>
      <c r="X42" s="1018">
        <f t="shared" si="4"/>
        <v>39</v>
      </c>
      <c r="Y42" s="1019" t="str">
        <f t="shared" si="6"/>
        <v>엑셀금융서비스(주) 안성사업단</v>
      </c>
      <c r="AD42" s="1" t="str">
        <f>IF(AG42="","",COUNTIFS($AG$4:AG42,AG42))</f>
        <v/>
      </c>
      <c r="AE42" s="1012" t="s">
        <v>170</v>
      </c>
      <c r="AF42" s="1015">
        <f t="shared" si="7"/>
        <v>1</v>
      </c>
      <c r="AG42" s="1" t="str">
        <f t="shared" si="5"/>
        <v/>
      </c>
    </row>
    <row r="43" spans="2:33" ht="30.75" customHeight="1" x14ac:dyDescent="0.3">
      <c r="B43" s="1079" t="s">
        <v>12</v>
      </c>
      <c r="C43" s="62">
        <v>0.39583333333333331</v>
      </c>
      <c r="D43" s="63" t="s">
        <v>215</v>
      </c>
      <c r="E43" s="64"/>
      <c r="F43" s="61"/>
      <c r="G43" s="65"/>
      <c r="H43" s="63"/>
      <c r="I43" s="64"/>
      <c r="J43" s="66"/>
      <c r="K43" s="65"/>
      <c r="L43" s="63"/>
      <c r="M43" s="64"/>
      <c r="N43" s="66"/>
      <c r="O43" s="228"/>
      <c r="P43" s="200"/>
      <c r="Q43" s="201"/>
      <c r="R43" s="229"/>
      <c r="S43" s="228"/>
      <c r="T43" s="200"/>
      <c r="U43" s="201"/>
      <c r="V43" s="230"/>
      <c r="X43" s="1018">
        <f t="shared" ref="X43:X74" si="8">X42+1</f>
        <v>40</v>
      </c>
      <c r="Y43" s="1019" t="str">
        <f t="shared" si="6"/>
        <v>엑셀금융서비스(주) 수원사업단</v>
      </c>
      <c r="AD43" s="1" t="str">
        <f>IF(AG43="","",COUNTIFS($AG$4:AG43,AG43))</f>
        <v/>
      </c>
      <c r="AE43" s="1012" t="s">
        <v>456</v>
      </c>
      <c r="AF43" s="1015">
        <f t="shared" si="7"/>
        <v>1</v>
      </c>
      <c r="AG43" s="1" t="str">
        <f t="shared" ref="AG43:AG74" si="9">IF(AF43=0,1,"")</f>
        <v/>
      </c>
    </row>
    <row r="44" spans="2:33" ht="30.75" customHeight="1" x14ac:dyDescent="0.3">
      <c r="B44" s="1080"/>
      <c r="C44" s="69"/>
      <c r="D44" s="70"/>
      <c r="E44" s="71"/>
      <c r="F44" s="68"/>
      <c r="G44" s="72"/>
      <c r="H44" s="70"/>
      <c r="I44" s="71"/>
      <c r="J44" s="73"/>
      <c r="K44" s="72"/>
      <c r="L44" s="70"/>
      <c r="M44" s="71"/>
      <c r="N44" s="73"/>
      <c r="O44" s="231"/>
      <c r="P44" s="204"/>
      <c r="Q44" s="205"/>
      <c r="R44" s="232"/>
      <c r="S44" s="231"/>
      <c r="T44" s="204"/>
      <c r="U44" s="205"/>
      <c r="V44" s="233"/>
      <c r="X44" s="1018">
        <f t="shared" si="8"/>
        <v>41</v>
      </c>
      <c r="Y44" s="1019" t="str">
        <f t="shared" si="6"/>
        <v>에스앤에스보험대리점</v>
      </c>
      <c r="AD44" s="1" t="str">
        <f>IF(AG44="","",COUNTIFS($AG$4:AG44,AG44))</f>
        <v/>
      </c>
      <c r="AE44" s="1012" t="s">
        <v>106</v>
      </c>
      <c r="AF44" s="1015">
        <f t="shared" si="7"/>
        <v>1</v>
      </c>
      <c r="AG44" s="1" t="str">
        <f t="shared" si="9"/>
        <v/>
      </c>
    </row>
    <row r="45" spans="2:33" ht="30.75" customHeight="1" x14ac:dyDescent="0.3">
      <c r="B45" s="9" t="s">
        <v>13</v>
      </c>
      <c r="C45" s="10"/>
      <c r="D45" s="11"/>
      <c r="E45" s="12"/>
      <c r="F45" s="9"/>
      <c r="G45" s="13"/>
      <c r="H45" s="11"/>
      <c r="I45" s="12"/>
      <c r="J45" s="14"/>
      <c r="K45" s="13"/>
      <c r="L45" s="11"/>
      <c r="M45" s="12"/>
      <c r="N45" s="14"/>
      <c r="O45" s="234"/>
      <c r="P45" s="235"/>
      <c r="Q45" s="236"/>
      <c r="R45" s="237"/>
      <c r="S45" s="234"/>
      <c r="T45" s="235"/>
      <c r="U45" s="236"/>
      <c r="V45" s="239"/>
      <c r="X45" s="1018">
        <f t="shared" si="8"/>
        <v>42</v>
      </c>
      <c r="Y45" s="1019" t="str">
        <f t="shared" si="6"/>
        <v>신금플 한길</v>
      </c>
      <c r="AD45" s="1" t="str">
        <f>IF(AG45="","",COUNTIFS($AG$4:AG45,AG45))</f>
        <v/>
      </c>
      <c r="AE45" s="1016" t="s">
        <v>455</v>
      </c>
      <c r="AF45" s="1015">
        <f t="shared" si="7"/>
        <v>1</v>
      </c>
      <c r="AG45" s="1" t="str">
        <f t="shared" si="9"/>
        <v/>
      </c>
    </row>
    <row r="46" spans="2:33" ht="30.75" customHeight="1" x14ac:dyDescent="0.3">
      <c r="X46" s="1018">
        <f t="shared" si="8"/>
        <v>43</v>
      </c>
      <c r="Y46" s="1019" t="str">
        <f t="shared" si="6"/>
        <v>미래에셋 히어로</v>
      </c>
      <c r="AD46" s="1" t="str">
        <f>IF(AG46="","",COUNTIFS($AG$4:AG46,AG46))</f>
        <v/>
      </c>
      <c r="AE46" s="1016" t="s">
        <v>268</v>
      </c>
      <c r="AF46" s="1015">
        <f t="shared" si="7"/>
        <v>1</v>
      </c>
      <c r="AG46" s="1" t="str">
        <f t="shared" si="9"/>
        <v/>
      </c>
    </row>
    <row r="47" spans="2:33" ht="30.75" customHeight="1" x14ac:dyDescent="0.3">
      <c r="X47" s="1018">
        <f t="shared" si="8"/>
        <v>44</v>
      </c>
      <c r="Y47" s="1019" t="str">
        <f t="shared" si="6"/>
        <v>더베스트 제우스경기법인</v>
      </c>
      <c r="AD47" s="1">
        <f>IF(AG47="","",COUNTIFS($AG$4:AG47,AG47))</f>
        <v>10</v>
      </c>
      <c r="AE47" s="1016" t="s">
        <v>34</v>
      </c>
      <c r="AF47" s="1015">
        <f t="shared" si="7"/>
        <v>0</v>
      </c>
      <c r="AG47" s="1">
        <f t="shared" si="9"/>
        <v>1</v>
      </c>
    </row>
    <row r="48" spans="2:33" ht="30.75" customHeight="1" x14ac:dyDescent="0.3">
      <c r="X48" s="1018">
        <f t="shared" si="8"/>
        <v>45</v>
      </c>
      <c r="Y48" s="1019" t="str">
        <f t="shared" si="6"/>
        <v>더베스트 위드탑</v>
      </c>
      <c r="AD48" s="1">
        <f>IF(AG48="","",COUNTIFS($AG$4:AG48,AG48))</f>
        <v>11</v>
      </c>
      <c r="AE48" s="1016" t="s">
        <v>46</v>
      </c>
      <c r="AF48" s="1015">
        <f t="shared" si="7"/>
        <v>0</v>
      </c>
      <c r="AG48" s="1">
        <f t="shared" si="9"/>
        <v>1</v>
      </c>
    </row>
    <row r="49" spans="24:33" ht="30.75" customHeight="1" x14ac:dyDescent="0.3">
      <c r="X49" s="1018">
        <f t="shared" si="8"/>
        <v>46</v>
      </c>
      <c r="Y49" s="1019" t="str">
        <f t="shared" si="6"/>
        <v>더베스트 아람</v>
      </c>
      <c r="AD49" s="1">
        <f>IF(AG49="","",COUNTIFS($AG$4:AG49,AG49))</f>
        <v>12</v>
      </c>
      <c r="AE49" s="1016" t="s">
        <v>89</v>
      </c>
      <c r="AF49" s="1015">
        <f t="shared" si="7"/>
        <v>0</v>
      </c>
      <c r="AG49" s="1">
        <f t="shared" si="9"/>
        <v>1</v>
      </c>
    </row>
    <row r="50" spans="24:33" ht="30.75" customHeight="1" x14ac:dyDescent="0.3">
      <c r="X50" s="1018">
        <f t="shared" si="8"/>
        <v>47</v>
      </c>
      <c r="Y50" s="1019" t="str">
        <f t="shared" si="6"/>
        <v>더블유에셋 오산</v>
      </c>
      <c r="AD50" s="1">
        <f>IF(AG50="","",COUNTIFS($AG$4:AG50,AG50))</f>
        <v>13</v>
      </c>
      <c r="AE50" s="1016" t="s">
        <v>663</v>
      </c>
      <c r="AF50" s="1015">
        <f t="shared" si="7"/>
        <v>0</v>
      </c>
      <c r="AG50" s="1">
        <f t="shared" si="9"/>
        <v>1</v>
      </c>
    </row>
    <row r="51" spans="24:33" ht="30.75" customHeight="1" x14ac:dyDescent="0.3">
      <c r="X51" s="1018">
        <f t="shared" si="8"/>
        <v>48</v>
      </c>
      <c r="Y51" s="1019" t="str">
        <f t="shared" si="6"/>
        <v>더좋은 화성</v>
      </c>
      <c r="AD51" s="1" t="str">
        <f>IF(AG51="","",COUNTIFS($AG$4:AG51,AG51))</f>
        <v/>
      </c>
      <c r="AE51" s="1016" t="s">
        <v>630</v>
      </c>
      <c r="AF51" s="1015">
        <f t="shared" si="7"/>
        <v>1</v>
      </c>
      <c r="AG51" s="1" t="str">
        <f t="shared" si="9"/>
        <v/>
      </c>
    </row>
    <row r="52" spans="24:33" ht="30.75" customHeight="1" x14ac:dyDescent="0.3">
      <c r="X52" s="1018">
        <f t="shared" si="8"/>
        <v>49</v>
      </c>
      <c r="Y52" s="1019" t="str">
        <f t="shared" si="6"/>
        <v>엠금융 인슈프라임</v>
      </c>
      <c r="AD52" s="1" t="str">
        <f>IF(AG52="","",COUNTIFS($AG$4:AG52,AG52))</f>
        <v/>
      </c>
      <c r="AE52" s="1012" t="s">
        <v>673</v>
      </c>
      <c r="AF52" s="1015">
        <f t="shared" si="7"/>
        <v>1</v>
      </c>
      <c r="AG52" s="1" t="str">
        <f t="shared" si="9"/>
        <v/>
      </c>
    </row>
    <row r="53" spans="24:33" ht="30.75" customHeight="1" x14ac:dyDescent="0.3">
      <c r="X53" s="1018">
        <f t="shared" si="8"/>
        <v>50</v>
      </c>
      <c r="Y53" s="1019" t="str">
        <f t="shared" si="6"/>
        <v>엠금융 보험플러스</v>
      </c>
      <c r="AD53" s="1" t="str">
        <f>IF(AG53="","",COUNTIFS($AG$4:AG53,AG53))</f>
        <v/>
      </c>
      <c r="AE53" s="1012" t="s">
        <v>173</v>
      </c>
      <c r="AF53" s="1015">
        <f t="shared" si="7"/>
        <v>1</v>
      </c>
      <c r="AG53" s="1" t="str">
        <f t="shared" si="9"/>
        <v/>
      </c>
    </row>
    <row r="54" spans="24:33" ht="30.75" customHeight="1" x14ac:dyDescent="0.3">
      <c r="X54" s="1018">
        <f t="shared" si="8"/>
        <v>51</v>
      </c>
      <c r="Y54" s="1019" t="str">
        <f t="shared" si="6"/>
        <v>글로벌 베스트평택</v>
      </c>
      <c r="AD54" s="1" t="str">
        <f>IF(AG54="","",COUNTIFS($AG$4:AG54,AG54))</f>
        <v/>
      </c>
      <c r="AE54" s="1012" t="s">
        <v>641</v>
      </c>
      <c r="AF54" s="1015">
        <f t="shared" si="7"/>
        <v>1</v>
      </c>
      <c r="AG54" s="1" t="str">
        <f t="shared" si="9"/>
        <v/>
      </c>
    </row>
    <row r="55" spans="24:33" ht="30.75" customHeight="1" x14ac:dyDescent="0.3">
      <c r="X55" s="1018">
        <f t="shared" si="8"/>
        <v>52</v>
      </c>
      <c r="Y55" s="1019" t="str">
        <f t="shared" si="6"/>
        <v>글로벌 베스트경인</v>
      </c>
      <c r="AB55" s="1015"/>
      <c r="AC55" s="1015"/>
      <c r="AD55" s="1">
        <f>IF(AG55="","",COUNTIFS($AG$4:AG55,AG55))</f>
        <v>14</v>
      </c>
      <c r="AE55" s="1012" t="s">
        <v>651</v>
      </c>
      <c r="AF55" s="1015">
        <f t="shared" si="7"/>
        <v>0</v>
      </c>
      <c r="AG55" s="1">
        <f t="shared" si="9"/>
        <v>1</v>
      </c>
    </row>
    <row r="56" spans="24:33" ht="30.75" customHeight="1" x14ac:dyDescent="0.3">
      <c r="X56" s="1018">
        <f t="shared" si="8"/>
        <v>53</v>
      </c>
      <c r="Y56" s="1019" t="str">
        <f t="shared" si="6"/>
        <v>글로벌 대한라이프평택</v>
      </c>
      <c r="AB56" s="1015"/>
      <c r="AC56" s="1015"/>
      <c r="AD56" s="1">
        <f>IF(AG56="","",COUNTIFS($AG$4:AG56,AG56))</f>
        <v>15</v>
      </c>
      <c r="AE56" s="1012" t="s">
        <v>649</v>
      </c>
      <c r="AF56" s="1015">
        <f t="shared" si="7"/>
        <v>0</v>
      </c>
      <c r="AG56" s="1">
        <f t="shared" si="9"/>
        <v>1</v>
      </c>
    </row>
    <row r="57" spans="24:33" ht="30.75" customHeight="1" x14ac:dyDescent="0.3">
      <c r="X57" s="1018">
        <f t="shared" si="8"/>
        <v>54</v>
      </c>
      <c r="Y57" s="1019" t="e">
        <f t="shared" si="6"/>
        <v>#N/A</v>
      </c>
      <c r="AB57" s="1015"/>
      <c r="AC57" s="1015"/>
      <c r="AD57" s="1">
        <f>IF(AG57="","",COUNTIFS($AG$4:AG57,AG57))</f>
        <v>16</v>
      </c>
      <c r="AE57" s="1012" t="s">
        <v>626</v>
      </c>
      <c r="AF57" s="1015">
        <f t="shared" si="7"/>
        <v>0</v>
      </c>
      <c r="AG57" s="1">
        <f t="shared" si="9"/>
        <v>1</v>
      </c>
    </row>
    <row r="58" spans="24:33" ht="30.75" customHeight="1" x14ac:dyDescent="0.3">
      <c r="X58" s="1018">
        <f t="shared" si="8"/>
        <v>55</v>
      </c>
      <c r="Y58" s="1019" t="e">
        <f t="shared" si="6"/>
        <v>#N/A</v>
      </c>
      <c r="AB58" s="1015"/>
      <c r="AC58" s="1015"/>
      <c r="AD58" s="1" t="str">
        <f>IF(AG58="","",COUNTIFS($AG$4:AG58,AG58))</f>
        <v/>
      </c>
      <c r="AE58" s="1012" t="s">
        <v>229</v>
      </c>
      <c r="AF58" s="1015">
        <f t="shared" si="7"/>
        <v>1</v>
      </c>
      <c r="AG58" s="1" t="str">
        <f t="shared" si="9"/>
        <v/>
      </c>
    </row>
    <row r="59" spans="24:33" ht="30.75" customHeight="1" x14ac:dyDescent="0.3">
      <c r="X59" s="1018">
        <f t="shared" si="8"/>
        <v>56</v>
      </c>
      <c r="Y59" s="1019" t="e">
        <f t="shared" si="6"/>
        <v>#N/A</v>
      </c>
      <c r="AB59" s="1015"/>
      <c r="AC59" s="1015"/>
      <c r="AD59" s="1">
        <f>IF(AG59="","",COUNTIFS($AG$4:AG59,AG59))</f>
        <v>17</v>
      </c>
      <c r="AE59" s="1012" t="s">
        <v>642</v>
      </c>
      <c r="AF59" s="1015">
        <f t="shared" si="7"/>
        <v>0</v>
      </c>
      <c r="AG59" s="1">
        <f t="shared" si="9"/>
        <v>1</v>
      </c>
    </row>
    <row r="60" spans="24:33" ht="30.75" customHeight="1" x14ac:dyDescent="0.3">
      <c r="X60" s="1018">
        <f t="shared" si="8"/>
        <v>57</v>
      </c>
      <c r="Y60" s="1019" t="e">
        <f t="shared" si="6"/>
        <v>#N/A</v>
      </c>
      <c r="AB60" s="1015"/>
      <c r="AC60" s="1015"/>
      <c r="AD60" s="1" t="str">
        <f>IF(AG60="","",COUNTIFS($AG$4:AG60,AG60))</f>
        <v/>
      </c>
      <c r="AE60" s="1012" t="s">
        <v>640</v>
      </c>
      <c r="AF60" s="1015">
        <f t="shared" si="7"/>
        <v>1</v>
      </c>
      <c r="AG60" s="1" t="str">
        <f t="shared" si="9"/>
        <v/>
      </c>
    </row>
    <row r="61" spans="24:33" ht="30.75" customHeight="1" x14ac:dyDescent="0.3">
      <c r="X61" s="1018">
        <f t="shared" si="8"/>
        <v>58</v>
      </c>
      <c r="Y61" s="1019" t="e">
        <f t="shared" si="6"/>
        <v>#N/A</v>
      </c>
      <c r="AB61" s="1015"/>
      <c r="AC61" s="1015"/>
      <c r="AD61" s="1">
        <f>IF(AG61="","",COUNTIFS($AG$4:AG61,AG61))</f>
        <v>18</v>
      </c>
      <c r="AE61" s="1012" t="s">
        <v>645</v>
      </c>
      <c r="AF61" s="1015">
        <f t="shared" si="7"/>
        <v>0</v>
      </c>
      <c r="AG61" s="1">
        <f t="shared" si="9"/>
        <v>1</v>
      </c>
    </row>
    <row r="62" spans="24:33" ht="30.75" customHeight="1" x14ac:dyDescent="0.3">
      <c r="X62" s="1018">
        <f t="shared" si="8"/>
        <v>59</v>
      </c>
      <c r="Y62" s="1019" t="e">
        <f t="shared" si="6"/>
        <v>#N/A</v>
      </c>
      <c r="AB62" s="1015"/>
      <c r="AC62" s="1015"/>
      <c r="AD62" s="1" t="str">
        <f>IF(AG62="","",COUNTIFS($AG$4:AG62,AG62))</f>
        <v/>
      </c>
      <c r="AE62" s="1012" t="s">
        <v>175</v>
      </c>
      <c r="AF62" s="1015">
        <f t="shared" si="7"/>
        <v>1</v>
      </c>
      <c r="AG62" s="1" t="str">
        <f t="shared" si="9"/>
        <v/>
      </c>
    </row>
    <row r="63" spans="24:33" ht="30.75" customHeight="1" x14ac:dyDescent="0.3">
      <c r="X63" s="1018">
        <f t="shared" si="8"/>
        <v>60</v>
      </c>
      <c r="Y63" s="1019" t="e">
        <f t="shared" si="6"/>
        <v>#N/A</v>
      </c>
      <c r="AB63" s="1015"/>
      <c r="AC63" s="1015"/>
      <c r="AD63" s="1">
        <f>IF(AG63="","",COUNTIFS($AG$4:AG63,AG63))</f>
        <v>19</v>
      </c>
      <c r="AE63" s="1012" t="s">
        <v>648</v>
      </c>
      <c r="AF63" s="1015">
        <f t="shared" si="7"/>
        <v>0</v>
      </c>
      <c r="AG63" s="1">
        <f t="shared" si="9"/>
        <v>1</v>
      </c>
    </row>
    <row r="64" spans="24:33" ht="30.75" customHeight="1" x14ac:dyDescent="0.3">
      <c r="X64" s="1018">
        <f t="shared" si="8"/>
        <v>61</v>
      </c>
      <c r="Y64" s="1019" t="e">
        <f t="shared" si="6"/>
        <v>#N/A</v>
      </c>
      <c r="AB64" s="1015"/>
      <c r="AC64" s="1015"/>
      <c r="AD64" s="1" t="str">
        <f>IF(AG64="","",COUNTIFS($AG$4:AG64,AG64))</f>
        <v/>
      </c>
      <c r="AE64" s="1012" t="s">
        <v>185</v>
      </c>
      <c r="AF64" s="1015">
        <f t="shared" si="7"/>
        <v>1</v>
      </c>
      <c r="AG64" s="1" t="str">
        <f t="shared" si="9"/>
        <v/>
      </c>
    </row>
    <row r="65" spans="24:33" ht="30.75" customHeight="1" x14ac:dyDescent="0.3">
      <c r="X65" s="1018">
        <f t="shared" si="8"/>
        <v>62</v>
      </c>
      <c r="Y65" s="1019" t="e">
        <f t="shared" si="6"/>
        <v>#N/A</v>
      </c>
      <c r="AB65" s="1015"/>
      <c r="AC65" s="1015"/>
      <c r="AD65" s="1">
        <f>IF(AG65="","",COUNTIFS($AG$4:AG65,AG65))</f>
        <v>20</v>
      </c>
      <c r="AE65" s="1012" t="s">
        <v>650</v>
      </c>
      <c r="AF65" s="1015">
        <f t="shared" si="7"/>
        <v>0</v>
      </c>
      <c r="AG65" s="1">
        <f t="shared" si="9"/>
        <v>1</v>
      </c>
    </row>
    <row r="66" spans="24:33" ht="30.75" customHeight="1" x14ac:dyDescent="0.3">
      <c r="X66" s="1018">
        <f t="shared" si="8"/>
        <v>63</v>
      </c>
      <c r="Y66" s="1019" t="e">
        <f t="shared" si="6"/>
        <v>#N/A</v>
      </c>
      <c r="AB66" s="1015"/>
      <c r="AC66" s="1015"/>
      <c r="AD66" s="1">
        <f>IF(AG66="","",COUNTIFS($AG$4:AG66,AG66))</f>
        <v>21</v>
      </c>
      <c r="AE66" s="1012" t="s">
        <v>643</v>
      </c>
      <c r="AF66" s="1015">
        <f t="shared" si="7"/>
        <v>0</v>
      </c>
      <c r="AG66" s="1">
        <f t="shared" si="9"/>
        <v>1</v>
      </c>
    </row>
    <row r="67" spans="24:33" ht="30.75" customHeight="1" x14ac:dyDescent="0.3">
      <c r="X67" s="1018">
        <f t="shared" si="8"/>
        <v>64</v>
      </c>
      <c r="Y67" s="1019" t="e">
        <f t="shared" si="6"/>
        <v>#N/A</v>
      </c>
      <c r="AB67" s="1015"/>
      <c r="AC67" s="1015"/>
      <c r="AD67" s="1">
        <f>IF(AG67="","",COUNTIFS($AG$4:AG67,AG67))</f>
        <v>22</v>
      </c>
      <c r="AE67" s="1012" t="s">
        <v>644</v>
      </c>
      <c r="AF67" s="1015">
        <f t="shared" si="7"/>
        <v>0</v>
      </c>
      <c r="AG67" s="1">
        <f t="shared" si="9"/>
        <v>1</v>
      </c>
    </row>
    <row r="68" spans="24:33" ht="30.75" customHeight="1" x14ac:dyDescent="0.3">
      <c r="X68" s="1018">
        <f t="shared" si="8"/>
        <v>65</v>
      </c>
      <c r="Y68" s="1019" t="e">
        <f t="shared" ref="Y68:Y99" si="10">VLOOKUP(X68,$AD$4:$AE$111,2,FALSE)</f>
        <v>#N/A</v>
      </c>
      <c r="AB68" s="1015"/>
      <c r="AC68" s="1015"/>
      <c r="AD68" s="1">
        <f>IF(AG68="","",COUNTIFS($AG$4:AG68,AG68))</f>
        <v>23</v>
      </c>
      <c r="AE68" s="1012" t="s">
        <v>671</v>
      </c>
      <c r="AF68" s="1015">
        <f t="shared" ref="AF68:AF99" si="11">COUNTIFS($B$3:$V$46,AE68)</f>
        <v>0</v>
      </c>
      <c r="AG68" s="1">
        <f t="shared" si="9"/>
        <v>1</v>
      </c>
    </row>
    <row r="69" spans="24:33" ht="30.75" customHeight="1" x14ac:dyDescent="0.3">
      <c r="X69" s="1018">
        <f t="shared" si="8"/>
        <v>66</v>
      </c>
      <c r="Y69" s="1019" t="e">
        <f t="shared" si="10"/>
        <v>#N/A</v>
      </c>
      <c r="AB69" s="1015"/>
      <c r="AC69" s="1015"/>
      <c r="AD69" s="1">
        <f>IF(AG69="","",COUNTIFS($AG$4:AG69,AG69))</f>
        <v>24</v>
      </c>
      <c r="AE69" s="1012" t="s">
        <v>672</v>
      </c>
      <c r="AF69" s="1015">
        <f t="shared" si="11"/>
        <v>0</v>
      </c>
      <c r="AG69" s="1">
        <f t="shared" si="9"/>
        <v>1</v>
      </c>
    </row>
    <row r="70" spans="24:33" ht="30.75" customHeight="1" x14ac:dyDescent="0.3">
      <c r="X70" s="1018">
        <f t="shared" si="8"/>
        <v>67</v>
      </c>
      <c r="Y70" s="1019" t="e">
        <f t="shared" si="10"/>
        <v>#N/A</v>
      </c>
      <c r="AB70" s="1015"/>
      <c r="AC70" s="1015"/>
      <c r="AD70" s="1">
        <f>IF(AG70="","",COUNTIFS($AG$4:AG70,AG70))</f>
        <v>25</v>
      </c>
      <c r="AE70" s="1012" t="s">
        <v>84</v>
      </c>
      <c r="AF70" s="1015">
        <f t="shared" si="11"/>
        <v>0</v>
      </c>
      <c r="AG70" s="1">
        <f t="shared" si="9"/>
        <v>1</v>
      </c>
    </row>
    <row r="71" spans="24:33" ht="30.75" customHeight="1" x14ac:dyDescent="0.3">
      <c r="X71" s="1018">
        <f t="shared" si="8"/>
        <v>68</v>
      </c>
      <c r="Y71" s="1019" t="e">
        <f t="shared" si="10"/>
        <v>#N/A</v>
      </c>
      <c r="AD71" s="1">
        <f>IF(AG71="","",COUNTIFS($AG$4:AG71,AG71))</f>
        <v>26</v>
      </c>
      <c r="AE71" s="1012" t="s">
        <v>124</v>
      </c>
      <c r="AF71" s="1015">
        <f t="shared" si="11"/>
        <v>0</v>
      </c>
      <c r="AG71" s="1">
        <f t="shared" si="9"/>
        <v>1</v>
      </c>
    </row>
    <row r="72" spans="24:33" ht="30.75" customHeight="1" x14ac:dyDescent="0.3">
      <c r="X72" s="1018">
        <f t="shared" si="8"/>
        <v>69</v>
      </c>
      <c r="Y72" s="1019" t="e">
        <f t="shared" si="10"/>
        <v>#N/A</v>
      </c>
      <c r="AD72" s="1" t="str">
        <f>IF(AG72="","",COUNTIFS($AG$4:AG72,AG72))</f>
        <v/>
      </c>
      <c r="AE72" s="1012" t="s">
        <v>285</v>
      </c>
      <c r="AF72" s="1015">
        <f t="shared" si="11"/>
        <v>1</v>
      </c>
      <c r="AG72" s="1" t="str">
        <f t="shared" si="9"/>
        <v/>
      </c>
    </row>
    <row r="73" spans="24:33" ht="30.75" customHeight="1" x14ac:dyDescent="0.3">
      <c r="X73" s="1018">
        <f t="shared" si="8"/>
        <v>70</v>
      </c>
      <c r="Y73" s="1019" t="e">
        <f t="shared" si="10"/>
        <v>#N/A</v>
      </c>
      <c r="AD73" s="1">
        <f>IF(AG73="","",COUNTIFS($AG$4:AG73,AG73))</f>
        <v>27</v>
      </c>
      <c r="AE73" s="1012" t="s">
        <v>664</v>
      </c>
      <c r="AF73" s="1015">
        <f t="shared" si="11"/>
        <v>0</v>
      </c>
      <c r="AG73" s="1">
        <f t="shared" si="9"/>
        <v>1</v>
      </c>
    </row>
    <row r="74" spans="24:33" ht="30.75" customHeight="1" x14ac:dyDescent="0.3">
      <c r="X74" s="1018">
        <f t="shared" si="8"/>
        <v>71</v>
      </c>
      <c r="Y74" s="1019" t="e">
        <f t="shared" si="10"/>
        <v>#N/A</v>
      </c>
      <c r="AD74" s="1">
        <f>IF(AG74="","",COUNTIFS($AG$4:AG74,AG74))</f>
        <v>28</v>
      </c>
      <c r="AE74" s="1012" t="s">
        <v>258</v>
      </c>
      <c r="AF74" s="1015">
        <f t="shared" si="11"/>
        <v>0</v>
      </c>
      <c r="AG74" s="1">
        <f t="shared" si="9"/>
        <v>1</v>
      </c>
    </row>
    <row r="75" spans="24:33" ht="30.75" customHeight="1" x14ac:dyDescent="0.3">
      <c r="X75" s="1018">
        <f t="shared" ref="X75:X110" si="12">X74+1</f>
        <v>72</v>
      </c>
      <c r="Y75" s="1019" t="e">
        <f t="shared" si="10"/>
        <v>#N/A</v>
      </c>
      <c r="AD75" s="1">
        <f>IF(AG75="","",COUNTIFS($AG$4:AG75,AG75))</f>
        <v>29</v>
      </c>
      <c r="AE75" s="1012" t="s">
        <v>665</v>
      </c>
      <c r="AF75" s="1015">
        <f t="shared" si="11"/>
        <v>0</v>
      </c>
      <c r="AG75" s="1">
        <f t="shared" ref="AG75:AG106" si="13">IF(AF75=0,1,"")</f>
        <v>1</v>
      </c>
    </row>
    <row r="76" spans="24:33" ht="30.75" customHeight="1" x14ac:dyDescent="0.3">
      <c r="X76" s="1018">
        <f t="shared" si="12"/>
        <v>73</v>
      </c>
      <c r="Y76" s="1019" t="e">
        <f t="shared" si="10"/>
        <v>#N/A</v>
      </c>
      <c r="AD76" s="1">
        <f>IF(AG76="","",COUNTIFS($AG$4:AG76,AG76))</f>
        <v>30</v>
      </c>
      <c r="AE76" s="1012" t="s">
        <v>666</v>
      </c>
      <c r="AF76" s="1015">
        <f t="shared" si="11"/>
        <v>0</v>
      </c>
      <c r="AG76" s="1">
        <f t="shared" si="13"/>
        <v>1</v>
      </c>
    </row>
    <row r="77" spans="24:33" ht="30.75" customHeight="1" x14ac:dyDescent="0.3">
      <c r="X77" s="1018">
        <f t="shared" si="12"/>
        <v>74</v>
      </c>
      <c r="Y77" s="1019" t="e">
        <f t="shared" si="10"/>
        <v>#N/A</v>
      </c>
      <c r="AD77" s="1">
        <f>IF(AG77="","",COUNTIFS($AG$4:AG77,AG77))</f>
        <v>31</v>
      </c>
      <c r="AE77" s="1012" t="s">
        <v>667</v>
      </c>
      <c r="AF77" s="1015">
        <f t="shared" si="11"/>
        <v>0</v>
      </c>
      <c r="AG77" s="1">
        <f t="shared" si="13"/>
        <v>1</v>
      </c>
    </row>
    <row r="78" spans="24:33" ht="30.75" customHeight="1" x14ac:dyDescent="0.3">
      <c r="X78" s="1018">
        <f t="shared" si="12"/>
        <v>75</v>
      </c>
      <c r="Y78" s="1019" t="e">
        <f t="shared" si="10"/>
        <v>#N/A</v>
      </c>
      <c r="AD78" s="1">
        <f>IF(AG78="","",COUNTIFS($AG$4:AG78,AG78))</f>
        <v>32</v>
      </c>
      <c r="AE78" s="1012" t="s">
        <v>668</v>
      </c>
      <c r="AF78" s="1015">
        <f t="shared" si="11"/>
        <v>0</v>
      </c>
      <c r="AG78" s="1">
        <f t="shared" si="13"/>
        <v>1</v>
      </c>
    </row>
    <row r="79" spans="24:33" ht="30.75" customHeight="1" x14ac:dyDescent="0.3">
      <c r="X79" s="1018">
        <f t="shared" si="12"/>
        <v>76</v>
      </c>
      <c r="Y79" s="1019" t="e">
        <f t="shared" si="10"/>
        <v>#N/A</v>
      </c>
      <c r="AD79" s="1">
        <f>IF(AG79="","",COUNTIFS($AG$4:AG79,AG79))</f>
        <v>33</v>
      </c>
      <c r="AE79" s="1012" t="s">
        <v>670</v>
      </c>
      <c r="AF79" s="1015">
        <f t="shared" si="11"/>
        <v>0</v>
      </c>
      <c r="AG79" s="1">
        <f t="shared" si="13"/>
        <v>1</v>
      </c>
    </row>
    <row r="80" spans="24:33" ht="30.75" customHeight="1" x14ac:dyDescent="0.3">
      <c r="X80" s="1018">
        <f t="shared" si="12"/>
        <v>77</v>
      </c>
      <c r="Y80" s="1019" t="e">
        <f t="shared" si="10"/>
        <v>#N/A</v>
      </c>
      <c r="AD80" s="1">
        <f>IF(AG80="","",COUNTIFS($AG$4:AG80,AG80))</f>
        <v>34</v>
      </c>
      <c r="AE80" s="1012" t="s">
        <v>669</v>
      </c>
      <c r="AF80" s="1015">
        <f t="shared" si="11"/>
        <v>0</v>
      </c>
      <c r="AG80" s="1">
        <f t="shared" si="13"/>
        <v>1</v>
      </c>
    </row>
    <row r="81" spans="24:33" ht="30.75" customHeight="1" x14ac:dyDescent="0.3">
      <c r="X81" s="1018">
        <f t="shared" si="12"/>
        <v>78</v>
      </c>
      <c r="Y81" s="1019" t="e">
        <f t="shared" si="10"/>
        <v>#N/A</v>
      </c>
      <c r="AD81" s="1">
        <f>IF(AG81="","",COUNTIFS($AG$4:AG81,AG81))</f>
        <v>35</v>
      </c>
      <c r="AE81" s="1012" t="s">
        <v>382</v>
      </c>
      <c r="AF81" s="1015">
        <f t="shared" si="11"/>
        <v>0</v>
      </c>
      <c r="AG81" s="1">
        <f t="shared" si="13"/>
        <v>1</v>
      </c>
    </row>
    <row r="82" spans="24:33" ht="30.75" customHeight="1" x14ac:dyDescent="0.3">
      <c r="X82" s="1018">
        <f t="shared" si="12"/>
        <v>79</v>
      </c>
      <c r="Y82" s="1019" t="e">
        <f t="shared" si="10"/>
        <v>#N/A</v>
      </c>
      <c r="AD82" s="1">
        <f>IF(AG82="","",COUNTIFS($AG$4:AG82,AG82))</f>
        <v>36</v>
      </c>
      <c r="AE82" s="1012" t="s">
        <v>241</v>
      </c>
      <c r="AF82" s="1015">
        <f t="shared" si="11"/>
        <v>0</v>
      </c>
      <c r="AG82" s="1">
        <f t="shared" si="13"/>
        <v>1</v>
      </c>
    </row>
    <row r="83" spans="24:33" ht="30.75" customHeight="1" x14ac:dyDescent="0.3">
      <c r="X83" s="1018">
        <f t="shared" si="12"/>
        <v>80</v>
      </c>
      <c r="Y83" s="1019" t="e">
        <f t="shared" si="10"/>
        <v>#N/A</v>
      </c>
      <c r="AD83" s="1" t="str">
        <f>IF(AG83="","",COUNTIFS($AG$4:AG83,AG83))</f>
        <v/>
      </c>
      <c r="AE83" s="1012" t="s">
        <v>661</v>
      </c>
      <c r="AF83" s="1015">
        <f t="shared" si="11"/>
        <v>1</v>
      </c>
      <c r="AG83" s="1" t="str">
        <f t="shared" si="13"/>
        <v/>
      </c>
    </row>
    <row r="84" spans="24:33" ht="30.75" customHeight="1" x14ac:dyDescent="0.3">
      <c r="X84" s="1018">
        <f t="shared" si="12"/>
        <v>81</v>
      </c>
      <c r="Y84" s="1019" t="e">
        <f t="shared" si="10"/>
        <v>#N/A</v>
      </c>
      <c r="AD84" s="1">
        <f>IF(AG84="","",COUNTIFS($AG$4:AG84,AG84))</f>
        <v>37</v>
      </c>
      <c r="AE84" s="1012" t="s">
        <v>414</v>
      </c>
      <c r="AF84" s="1015">
        <f t="shared" si="11"/>
        <v>0</v>
      </c>
      <c r="AG84" s="1">
        <f t="shared" si="13"/>
        <v>1</v>
      </c>
    </row>
    <row r="85" spans="24:33" ht="30.75" customHeight="1" x14ac:dyDescent="0.3">
      <c r="X85" s="1018">
        <f t="shared" si="12"/>
        <v>82</v>
      </c>
      <c r="Y85" s="1019" t="e">
        <f t="shared" si="10"/>
        <v>#N/A</v>
      </c>
      <c r="AD85" s="1">
        <f>IF(AG85="","",COUNTIFS($AG$4:AG85,AG85))</f>
        <v>38</v>
      </c>
      <c r="AE85" s="1012" t="s">
        <v>646</v>
      </c>
      <c r="AF85" s="1015">
        <f t="shared" si="11"/>
        <v>0</v>
      </c>
      <c r="AG85" s="1">
        <f t="shared" si="13"/>
        <v>1</v>
      </c>
    </row>
    <row r="86" spans="24:33" ht="30.75" customHeight="1" x14ac:dyDescent="0.3">
      <c r="X86" s="1018">
        <f t="shared" si="12"/>
        <v>83</v>
      </c>
      <c r="Y86" s="1019" t="e">
        <f t="shared" si="10"/>
        <v>#N/A</v>
      </c>
      <c r="AD86" s="1">
        <f>IF(AG86="","",COUNTIFS($AG$4:AG86,AG86))</f>
        <v>39</v>
      </c>
      <c r="AE86" s="1012" t="s">
        <v>652</v>
      </c>
      <c r="AF86" s="1015">
        <f t="shared" si="11"/>
        <v>0</v>
      </c>
      <c r="AG86" s="1">
        <f t="shared" si="13"/>
        <v>1</v>
      </c>
    </row>
    <row r="87" spans="24:33" ht="30.75" customHeight="1" x14ac:dyDescent="0.3">
      <c r="X87" s="1018">
        <f t="shared" si="12"/>
        <v>84</v>
      </c>
      <c r="Y87" s="1019" t="e">
        <f t="shared" si="10"/>
        <v>#N/A</v>
      </c>
      <c r="AD87" s="1">
        <f>IF(AG87="","",COUNTIFS($AG$4:AG87,AG87))</f>
        <v>40</v>
      </c>
      <c r="AE87" s="1012" t="s">
        <v>647</v>
      </c>
      <c r="AF87" s="1015">
        <f t="shared" si="11"/>
        <v>0</v>
      </c>
      <c r="AG87" s="1">
        <f t="shared" si="13"/>
        <v>1</v>
      </c>
    </row>
    <row r="88" spans="24:33" ht="30.75" customHeight="1" x14ac:dyDescent="0.3">
      <c r="X88" s="1018">
        <f t="shared" si="12"/>
        <v>85</v>
      </c>
      <c r="Y88" s="1019" t="e">
        <f t="shared" si="10"/>
        <v>#N/A</v>
      </c>
      <c r="AD88" s="1">
        <f>IF(AG88="","",COUNTIFS($AG$4:AG88,AG88))</f>
        <v>41</v>
      </c>
      <c r="AE88" s="1012" t="s">
        <v>653</v>
      </c>
      <c r="AF88" s="1015">
        <f t="shared" si="11"/>
        <v>0</v>
      </c>
      <c r="AG88" s="1">
        <f t="shared" si="13"/>
        <v>1</v>
      </c>
    </row>
    <row r="89" spans="24:33" ht="30.75" customHeight="1" x14ac:dyDescent="0.3">
      <c r="X89" s="1018">
        <f t="shared" si="12"/>
        <v>86</v>
      </c>
      <c r="Y89" s="1019" t="e">
        <f t="shared" si="10"/>
        <v>#N/A</v>
      </c>
      <c r="AD89" s="1">
        <f>IF(AG89="","",COUNTIFS($AG$4:AG89,AG89))</f>
        <v>42</v>
      </c>
      <c r="AE89" s="1012" t="s">
        <v>674</v>
      </c>
      <c r="AF89" s="1015">
        <f t="shared" si="11"/>
        <v>0</v>
      </c>
      <c r="AG89" s="1">
        <f t="shared" si="13"/>
        <v>1</v>
      </c>
    </row>
    <row r="90" spans="24:33" ht="30.75" customHeight="1" x14ac:dyDescent="0.3">
      <c r="X90" s="1018">
        <f t="shared" si="12"/>
        <v>87</v>
      </c>
      <c r="Y90" s="1019" t="e">
        <f t="shared" si="10"/>
        <v>#N/A</v>
      </c>
      <c r="AD90" s="1">
        <f>IF(AG90="","",COUNTIFS($AG$4:AG90,AG90))</f>
        <v>43</v>
      </c>
      <c r="AE90" s="1012" t="s">
        <v>675</v>
      </c>
      <c r="AF90" s="1015">
        <f t="shared" si="11"/>
        <v>0</v>
      </c>
      <c r="AG90" s="1">
        <f t="shared" si="13"/>
        <v>1</v>
      </c>
    </row>
    <row r="91" spans="24:33" ht="30.75" customHeight="1" x14ac:dyDescent="0.3">
      <c r="X91" s="1018">
        <f t="shared" si="12"/>
        <v>88</v>
      </c>
      <c r="Y91" s="1019" t="e">
        <f t="shared" si="10"/>
        <v>#N/A</v>
      </c>
      <c r="AD91" s="1" t="str">
        <f>IF(AG91="","",COUNTIFS($AG$4:AG91,AG91))</f>
        <v/>
      </c>
      <c r="AE91" s="1012" t="s">
        <v>355</v>
      </c>
      <c r="AF91" s="1015">
        <f t="shared" si="11"/>
        <v>1</v>
      </c>
      <c r="AG91" s="1" t="str">
        <f t="shared" si="13"/>
        <v/>
      </c>
    </row>
    <row r="92" spans="24:33" ht="30.75" customHeight="1" x14ac:dyDescent="0.3">
      <c r="X92" s="1018">
        <f t="shared" si="12"/>
        <v>89</v>
      </c>
      <c r="Y92" s="1019" t="e">
        <f t="shared" si="10"/>
        <v>#N/A</v>
      </c>
      <c r="AD92" s="1" t="str">
        <f>IF(AG92="","",COUNTIFS($AG$4:AG92,AG92))</f>
        <v/>
      </c>
      <c r="AE92" s="1012" t="s">
        <v>468</v>
      </c>
      <c r="AF92" s="1015">
        <f t="shared" si="11"/>
        <v>1</v>
      </c>
      <c r="AG92" s="1" t="str">
        <f t="shared" si="13"/>
        <v/>
      </c>
    </row>
    <row r="93" spans="24:33" ht="30.75" customHeight="1" x14ac:dyDescent="0.3">
      <c r="X93" s="1018">
        <f t="shared" si="12"/>
        <v>90</v>
      </c>
      <c r="Y93" s="1019" t="e">
        <f t="shared" si="10"/>
        <v>#N/A</v>
      </c>
      <c r="AD93" s="1">
        <f>IF(AG93="","",COUNTIFS($AG$4:AG93,AG93))</f>
        <v>44</v>
      </c>
      <c r="AE93" s="1012" t="s">
        <v>676</v>
      </c>
      <c r="AF93" s="1015">
        <f t="shared" si="11"/>
        <v>0</v>
      </c>
      <c r="AG93" s="1">
        <f t="shared" si="13"/>
        <v>1</v>
      </c>
    </row>
    <row r="94" spans="24:33" ht="30.75" customHeight="1" x14ac:dyDescent="0.3">
      <c r="X94" s="1018">
        <f t="shared" si="12"/>
        <v>91</v>
      </c>
      <c r="Y94" s="1019" t="e">
        <f t="shared" si="10"/>
        <v>#N/A</v>
      </c>
      <c r="AD94" s="1">
        <f>IF(AG94="","",COUNTIFS($AG$4:AG94,AG94))</f>
        <v>45</v>
      </c>
      <c r="AE94" s="1012" t="s">
        <v>594</v>
      </c>
      <c r="AF94" s="1015">
        <f t="shared" si="11"/>
        <v>0</v>
      </c>
      <c r="AG94" s="1">
        <f t="shared" si="13"/>
        <v>1</v>
      </c>
    </row>
    <row r="95" spans="24:33" ht="30.75" customHeight="1" x14ac:dyDescent="0.3">
      <c r="X95" s="1018">
        <f t="shared" si="12"/>
        <v>92</v>
      </c>
      <c r="Y95" s="1019" t="e">
        <f t="shared" si="10"/>
        <v>#N/A</v>
      </c>
      <c r="AD95" s="1">
        <f>IF(AG95="","",COUNTIFS($AG$4:AG95,AG95))</f>
        <v>46</v>
      </c>
      <c r="AE95" s="1012" t="s">
        <v>677</v>
      </c>
      <c r="AF95" s="1015">
        <f t="shared" si="11"/>
        <v>0</v>
      </c>
      <c r="AG95" s="1">
        <f t="shared" si="13"/>
        <v>1</v>
      </c>
    </row>
    <row r="96" spans="24:33" ht="30.75" customHeight="1" x14ac:dyDescent="0.3">
      <c r="X96" s="1018">
        <f t="shared" si="12"/>
        <v>93</v>
      </c>
      <c r="Y96" s="1019" t="e">
        <f t="shared" si="10"/>
        <v>#N/A</v>
      </c>
      <c r="AD96" s="1">
        <f>IF(AG96="","",COUNTIFS($AG$4:AG96,AG96))</f>
        <v>47</v>
      </c>
      <c r="AE96" s="1012" t="s">
        <v>678</v>
      </c>
      <c r="AF96" s="1015">
        <f t="shared" si="11"/>
        <v>0</v>
      </c>
      <c r="AG96" s="1">
        <f t="shared" si="13"/>
        <v>1</v>
      </c>
    </row>
    <row r="97" spans="24:33" ht="30.75" customHeight="1" x14ac:dyDescent="0.3">
      <c r="X97" s="1018">
        <f t="shared" si="12"/>
        <v>94</v>
      </c>
      <c r="Y97" s="1019" t="e">
        <f t="shared" si="10"/>
        <v>#N/A</v>
      </c>
      <c r="AD97" s="1">
        <f>IF(AG97="","",COUNTIFS($AG$4:AG97,AG97))</f>
        <v>48</v>
      </c>
      <c r="AE97" s="1012" t="s">
        <v>51</v>
      </c>
      <c r="AF97" s="1015">
        <f t="shared" si="11"/>
        <v>0</v>
      </c>
      <c r="AG97" s="1">
        <f t="shared" si="13"/>
        <v>1</v>
      </c>
    </row>
    <row r="98" spans="24:33" ht="30.75" customHeight="1" x14ac:dyDescent="0.3">
      <c r="X98" s="1018">
        <f t="shared" si="12"/>
        <v>95</v>
      </c>
      <c r="Y98" s="1019" t="e">
        <f t="shared" si="10"/>
        <v>#N/A</v>
      </c>
      <c r="AD98" s="1" t="str">
        <f>IF(AG98="","",COUNTIFS($AG$4:AG98,AG98))</f>
        <v/>
      </c>
      <c r="AE98" s="1012" t="s">
        <v>80</v>
      </c>
      <c r="AF98" s="1015">
        <f t="shared" si="11"/>
        <v>1</v>
      </c>
      <c r="AG98" s="1" t="str">
        <f t="shared" si="13"/>
        <v/>
      </c>
    </row>
    <row r="99" spans="24:33" ht="30.75" customHeight="1" x14ac:dyDescent="0.3">
      <c r="X99" s="1018">
        <f t="shared" si="12"/>
        <v>96</v>
      </c>
      <c r="Y99" s="1019" t="e">
        <f t="shared" si="10"/>
        <v>#N/A</v>
      </c>
      <c r="AD99" s="1" t="str">
        <f>IF(AG99="","",COUNTIFS($AG$4:AG99,AG99))</f>
        <v/>
      </c>
      <c r="AE99" s="1012" t="s">
        <v>79</v>
      </c>
      <c r="AF99" s="1015">
        <f t="shared" si="11"/>
        <v>1</v>
      </c>
      <c r="AG99" s="1" t="str">
        <f t="shared" si="13"/>
        <v/>
      </c>
    </row>
    <row r="100" spans="24:33" ht="30.75" customHeight="1" x14ac:dyDescent="0.3">
      <c r="X100" s="1018">
        <f t="shared" si="12"/>
        <v>97</v>
      </c>
      <c r="Y100" s="1019" t="e">
        <f t="shared" ref="Y100:Y110" si="14">VLOOKUP(X100,$AD$4:$AE$111,2,FALSE)</f>
        <v>#N/A</v>
      </c>
      <c r="AD100" s="1" t="str">
        <f>IF(AG100="","",COUNTIFS($AG$4:AG100,AG100))</f>
        <v/>
      </c>
      <c r="AE100" s="1012" t="s">
        <v>37</v>
      </c>
      <c r="AF100" s="1015">
        <f t="shared" ref="AF100:AF109" si="15">COUNTIFS($B$3:$V$46,AE100)</f>
        <v>1</v>
      </c>
      <c r="AG100" s="1" t="str">
        <f t="shared" si="13"/>
        <v/>
      </c>
    </row>
    <row r="101" spans="24:33" ht="30.75" customHeight="1" x14ac:dyDescent="0.3">
      <c r="X101" s="1018">
        <f t="shared" si="12"/>
        <v>98</v>
      </c>
      <c r="Y101" s="1019" t="e">
        <f t="shared" si="14"/>
        <v>#N/A</v>
      </c>
      <c r="AD101" s="1" t="str">
        <f>IF(AG101="","",COUNTIFS($AG$4:AG101,AG101))</f>
        <v/>
      </c>
      <c r="AE101" s="1012" t="s">
        <v>469</v>
      </c>
      <c r="AF101" s="1015">
        <f t="shared" si="15"/>
        <v>1</v>
      </c>
      <c r="AG101" s="1" t="str">
        <f t="shared" si="13"/>
        <v/>
      </c>
    </row>
    <row r="102" spans="24:33" ht="30.75" customHeight="1" x14ac:dyDescent="0.3">
      <c r="X102" s="1018">
        <f t="shared" si="12"/>
        <v>99</v>
      </c>
      <c r="Y102" s="1019" t="e">
        <f t="shared" si="14"/>
        <v>#N/A</v>
      </c>
      <c r="AD102" s="1" t="str">
        <f>IF(AG102="","",COUNTIFS($AG$4:AG102,AG102))</f>
        <v/>
      </c>
      <c r="AE102" s="1012" t="s">
        <v>22</v>
      </c>
      <c r="AF102" s="1015">
        <f t="shared" si="15"/>
        <v>1</v>
      </c>
      <c r="AG102" s="1" t="str">
        <f t="shared" si="13"/>
        <v/>
      </c>
    </row>
    <row r="103" spans="24:33" ht="30.75" customHeight="1" x14ac:dyDescent="0.3">
      <c r="X103" s="1018">
        <f t="shared" si="12"/>
        <v>100</v>
      </c>
      <c r="Y103" s="1019" t="e">
        <f t="shared" si="14"/>
        <v>#N/A</v>
      </c>
      <c r="AD103" s="1">
        <f>IF(AG103="","",COUNTIFS($AG$4:AG103,AG103))</f>
        <v>49</v>
      </c>
      <c r="AE103" s="1012" t="s">
        <v>679</v>
      </c>
      <c r="AF103" s="1015">
        <f t="shared" si="15"/>
        <v>0</v>
      </c>
      <c r="AG103" s="1">
        <f t="shared" si="13"/>
        <v>1</v>
      </c>
    </row>
    <row r="104" spans="24:33" ht="30.75" customHeight="1" x14ac:dyDescent="0.3">
      <c r="X104" s="1018">
        <f t="shared" si="12"/>
        <v>101</v>
      </c>
      <c r="Y104" s="1019" t="e">
        <f t="shared" si="14"/>
        <v>#N/A</v>
      </c>
      <c r="AD104" s="1">
        <f>IF(AG104="","",COUNTIFS($AG$4:AG104,AG104))</f>
        <v>50</v>
      </c>
      <c r="AE104" s="1012" t="s">
        <v>680</v>
      </c>
      <c r="AF104" s="1015">
        <f t="shared" si="15"/>
        <v>0</v>
      </c>
      <c r="AG104" s="1">
        <f t="shared" si="13"/>
        <v>1</v>
      </c>
    </row>
    <row r="105" spans="24:33" ht="30.75" customHeight="1" x14ac:dyDescent="0.3">
      <c r="X105" s="1018">
        <f t="shared" si="12"/>
        <v>102</v>
      </c>
      <c r="Y105" s="1019" t="e">
        <f t="shared" si="14"/>
        <v>#N/A</v>
      </c>
      <c r="AD105" s="1" t="str">
        <f>IF(AG105="","",COUNTIFS($AG$4:AG105,AG105))</f>
        <v/>
      </c>
      <c r="AE105" s="1012" t="s">
        <v>47</v>
      </c>
      <c r="AF105" s="1015">
        <f t="shared" si="15"/>
        <v>1</v>
      </c>
      <c r="AG105" s="1" t="str">
        <f t="shared" si="13"/>
        <v/>
      </c>
    </row>
    <row r="106" spans="24:33" ht="30.75" customHeight="1" x14ac:dyDescent="0.3">
      <c r="X106" s="1018">
        <f t="shared" si="12"/>
        <v>103</v>
      </c>
      <c r="Y106" s="1019" t="e">
        <f t="shared" si="14"/>
        <v>#N/A</v>
      </c>
      <c r="AD106" s="1">
        <f>IF(AG106="","",COUNTIFS($AG$4:AG106,AG106))</f>
        <v>51</v>
      </c>
      <c r="AE106" s="1012" t="s">
        <v>296</v>
      </c>
      <c r="AF106" s="1015">
        <f t="shared" si="15"/>
        <v>0</v>
      </c>
      <c r="AG106" s="1">
        <f t="shared" si="13"/>
        <v>1</v>
      </c>
    </row>
    <row r="107" spans="24:33" ht="30.75" customHeight="1" x14ac:dyDescent="0.3">
      <c r="X107" s="1018">
        <f t="shared" si="12"/>
        <v>104</v>
      </c>
      <c r="Y107" s="1019" t="e">
        <f t="shared" si="14"/>
        <v>#N/A</v>
      </c>
      <c r="AD107" s="1">
        <f>IF(AG107="","",COUNTIFS($AG$4:AG107,AG107))</f>
        <v>52</v>
      </c>
      <c r="AE107" s="1012" t="s">
        <v>458</v>
      </c>
      <c r="AF107" s="1015">
        <f t="shared" si="15"/>
        <v>0</v>
      </c>
      <c r="AG107" s="1">
        <f t="shared" ref="AG107:AG109" si="16">IF(AF107=0,1,"")</f>
        <v>1</v>
      </c>
    </row>
    <row r="108" spans="24:33" ht="30.75" customHeight="1" x14ac:dyDescent="0.3">
      <c r="X108" s="1018">
        <f t="shared" si="12"/>
        <v>105</v>
      </c>
      <c r="Y108" s="1019" t="e">
        <f t="shared" si="14"/>
        <v>#N/A</v>
      </c>
      <c r="AD108" s="1">
        <f>IF(AG108="","",COUNTIFS($AG$4:AG108,AG108))</f>
        <v>53</v>
      </c>
      <c r="AE108" s="1012" t="s">
        <v>462</v>
      </c>
      <c r="AF108" s="1015">
        <f t="shared" si="15"/>
        <v>0</v>
      </c>
      <c r="AG108" s="1">
        <f t="shared" si="16"/>
        <v>1</v>
      </c>
    </row>
    <row r="109" spans="24:33" ht="30.75" customHeight="1" x14ac:dyDescent="0.3">
      <c r="X109" s="1018">
        <f t="shared" si="12"/>
        <v>106</v>
      </c>
      <c r="Y109" s="1019" t="e">
        <f t="shared" si="14"/>
        <v>#N/A</v>
      </c>
      <c r="AD109" s="1" t="str">
        <f>IF(AG109="","",COUNTIFS($AG$4:AG109,AG109))</f>
        <v/>
      </c>
      <c r="AE109" s="1012" t="s">
        <v>683</v>
      </c>
      <c r="AF109" s="1015">
        <f t="shared" si="15"/>
        <v>1</v>
      </c>
      <c r="AG109" s="1" t="str">
        <f t="shared" si="16"/>
        <v/>
      </c>
    </row>
    <row r="110" spans="24:33" ht="30.75" customHeight="1" x14ac:dyDescent="0.3">
      <c r="X110" s="1018">
        <f t="shared" si="12"/>
        <v>107</v>
      </c>
      <c r="Y110" s="1019" t="e">
        <f t="shared" si="14"/>
        <v>#N/A</v>
      </c>
      <c r="AB110"/>
      <c r="AC110"/>
      <c r="AE110" s="1012"/>
    </row>
    <row r="111" spans="24:33" ht="30.75" customHeight="1" x14ac:dyDescent="0.3">
      <c r="X111"/>
      <c r="Y111"/>
      <c r="AB111"/>
      <c r="AC111"/>
      <c r="AD111"/>
      <c r="AE111"/>
      <c r="AF111"/>
      <c r="AG111"/>
    </row>
    <row r="112" spans="24:33" ht="30.75" customHeight="1" x14ac:dyDescent="0.3">
      <c r="X112"/>
      <c r="Y112"/>
      <c r="AB112"/>
      <c r="AC112"/>
      <c r="AD112"/>
      <c r="AE112"/>
      <c r="AF112"/>
      <c r="AG112"/>
    </row>
    <row r="113" spans="24:33" ht="30.75" customHeight="1" x14ac:dyDescent="0.3">
      <c r="X113"/>
      <c r="Y113"/>
      <c r="AB113"/>
      <c r="AC113"/>
      <c r="AD113"/>
      <c r="AE113"/>
      <c r="AF113"/>
      <c r="AG113"/>
    </row>
    <row r="114" spans="24:33" ht="30.75" customHeight="1" x14ac:dyDescent="0.3">
      <c r="X114"/>
      <c r="Y114"/>
      <c r="AB114"/>
      <c r="AC114"/>
      <c r="AD114"/>
      <c r="AE114"/>
      <c r="AF114"/>
      <c r="AG114"/>
    </row>
    <row r="115" spans="24:33" ht="30.75" customHeight="1" x14ac:dyDescent="0.3">
      <c r="X115"/>
      <c r="Y115"/>
      <c r="AB115"/>
      <c r="AC115"/>
      <c r="AD115"/>
      <c r="AE115"/>
      <c r="AF115"/>
      <c r="AG115"/>
    </row>
    <row r="116" spans="24:33" ht="30.75" customHeight="1" x14ac:dyDescent="0.3">
      <c r="AE116" s="1012"/>
    </row>
    <row r="117" spans="24:33" ht="30.75" customHeight="1" x14ac:dyDescent="0.3">
      <c r="AE117" s="1012"/>
    </row>
    <row r="118" spans="24:33" ht="30.75" customHeight="1" x14ac:dyDescent="0.3">
      <c r="AE118" s="1012"/>
    </row>
    <row r="119" spans="24:33" ht="30.75" customHeight="1" x14ac:dyDescent="0.3">
      <c r="AE119" s="1012"/>
    </row>
    <row r="120" spans="24:33" ht="30.75" customHeight="1" x14ac:dyDescent="0.3">
      <c r="AE120" s="1012"/>
    </row>
    <row r="121" spans="24:33" ht="30.75" customHeight="1" x14ac:dyDescent="0.3">
      <c r="AE121" s="1012"/>
    </row>
    <row r="122" spans="24:33" ht="30.75" customHeight="1" x14ac:dyDescent="0.3">
      <c r="AE122" s="1012"/>
    </row>
    <row r="123" spans="24:33" ht="30.75" customHeight="1" x14ac:dyDescent="0.3">
      <c r="AE123" s="1012"/>
    </row>
    <row r="124" spans="24:33" ht="30.75" customHeight="1" x14ac:dyDescent="0.3">
      <c r="AE124" s="1012"/>
    </row>
    <row r="125" spans="24:33" ht="30.75" customHeight="1" x14ac:dyDescent="0.3">
      <c r="AE125" s="1012"/>
    </row>
    <row r="126" spans="24:33" ht="30.75" customHeight="1" x14ac:dyDescent="0.3">
      <c r="AE126" s="1012"/>
    </row>
    <row r="127" spans="24:33" ht="30.75" customHeight="1" x14ac:dyDescent="0.3">
      <c r="AE127" s="1012"/>
    </row>
    <row r="128" spans="24:33" ht="30.75" customHeight="1" x14ac:dyDescent="0.3">
      <c r="AE128" s="1012"/>
    </row>
    <row r="129" spans="31:31" ht="30.75" customHeight="1" x14ac:dyDescent="0.3">
      <c r="AE129" s="1012"/>
    </row>
    <row r="130" spans="31:31" ht="30.75" customHeight="1" x14ac:dyDescent="0.3">
      <c r="AE130" s="1012"/>
    </row>
    <row r="131" spans="31:31" ht="30.75" customHeight="1" x14ac:dyDescent="0.3">
      <c r="AE131" s="1012"/>
    </row>
    <row r="132" spans="31:31" ht="30.75" customHeight="1" x14ac:dyDescent="0.3">
      <c r="AE132" s="1012"/>
    </row>
    <row r="133" spans="31:31" ht="30.75" customHeight="1" x14ac:dyDescent="0.3">
      <c r="AE133" s="1012"/>
    </row>
    <row r="134" spans="31:31" ht="30.75" customHeight="1" x14ac:dyDescent="0.3">
      <c r="AE134" s="1012"/>
    </row>
    <row r="135" spans="31:31" ht="30.75" customHeight="1" x14ac:dyDescent="0.3">
      <c r="AE135" s="1012"/>
    </row>
    <row r="136" spans="31:31" ht="30.75" customHeight="1" x14ac:dyDescent="0.3">
      <c r="AE136" s="1012"/>
    </row>
    <row r="137" spans="31:31" ht="30.75" customHeight="1" x14ac:dyDescent="0.3">
      <c r="AE137" s="1012"/>
    </row>
    <row r="138" spans="31:31" ht="30.75" customHeight="1" x14ac:dyDescent="0.3">
      <c r="AE138" s="1012"/>
    </row>
    <row r="139" spans="31:31" ht="30.75" customHeight="1" x14ac:dyDescent="0.3">
      <c r="AE139" s="1012"/>
    </row>
    <row r="140" spans="31:31" ht="30.75" customHeight="1" x14ac:dyDescent="0.3">
      <c r="AE140" s="1012"/>
    </row>
    <row r="141" spans="31:31" ht="30.75" customHeight="1" x14ac:dyDescent="0.3">
      <c r="AE141" s="1012"/>
    </row>
    <row r="142" spans="31:31" ht="30.75" customHeight="1" x14ac:dyDescent="0.3">
      <c r="AE142" s="1012"/>
    </row>
    <row r="143" spans="31:31" ht="30.75" customHeight="1" x14ac:dyDescent="0.3">
      <c r="AE143" s="1012"/>
    </row>
    <row r="144" spans="31:31" ht="30.75" customHeight="1" x14ac:dyDescent="0.3">
      <c r="AE144" s="1012"/>
    </row>
    <row r="145" spans="31:31" ht="30.75" customHeight="1" x14ac:dyDescent="0.3">
      <c r="AE145" s="1012"/>
    </row>
    <row r="146" spans="31:31" ht="30.75" customHeight="1" x14ac:dyDescent="0.3">
      <c r="AE146" s="1012"/>
    </row>
    <row r="147" spans="31:31" ht="30.75" customHeight="1" x14ac:dyDescent="0.3">
      <c r="AE147" s="1012"/>
    </row>
    <row r="148" spans="31:31" ht="30.75" customHeight="1" x14ac:dyDescent="0.3">
      <c r="AE148" s="1012"/>
    </row>
    <row r="149" spans="31:31" ht="30.75" customHeight="1" x14ac:dyDescent="0.3">
      <c r="AE149" s="1012"/>
    </row>
    <row r="150" spans="31:31" ht="30.75" customHeight="1" x14ac:dyDescent="0.3">
      <c r="AE150" s="1012"/>
    </row>
    <row r="151" spans="31:31" ht="30.75" customHeight="1" x14ac:dyDescent="0.3">
      <c r="AE151" s="1012"/>
    </row>
    <row r="152" spans="31:31" ht="30.75" customHeight="1" x14ac:dyDescent="0.3">
      <c r="AE152" s="1012"/>
    </row>
    <row r="153" spans="31:31" ht="30.75" customHeight="1" x14ac:dyDescent="0.3">
      <c r="AE153" s="1012"/>
    </row>
    <row r="154" spans="31:31" ht="30.75" customHeight="1" x14ac:dyDescent="0.3">
      <c r="AE154" s="1012"/>
    </row>
    <row r="155" spans="31:31" ht="30.75" customHeight="1" x14ac:dyDescent="0.3">
      <c r="AE155" s="1012"/>
    </row>
    <row r="156" spans="31:31" ht="30.75" customHeight="1" x14ac:dyDescent="0.3">
      <c r="AE156" s="1012"/>
    </row>
    <row r="157" spans="31:31" ht="30.75" customHeight="1" x14ac:dyDescent="0.3">
      <c r="AE157" s="1012"/>
    </row>
    <row r="158" spans="31:31" ht="30.75" customHeight="1" x14ac:dyDescent="0.3">
      <c r="AE158" s="1012"/>
    </row>
    <row r="159" spans="31:31" ht="30.75" customHeight="1" x14ac:dyDescent="0.3">
      <c r="AE159" s="1012"/>
    </row>
    <row r="160" spans="31:31" ht="30.75" customHeight="1" x14ac:dyDescent="0.3">
      <c r="AE160" s="1012"/>
    </row>
    <row r="161" spans="31:31" ht="30.75" customHeight="1" x14ac:dyDescent="0.3">
      <c r="AE161" s="1012"/>
    </row>
    <row r="162" spans="31:31" ht="30.75" customHeight="1" x14ac:dyDescent="0.3">
      <c r="AE162" s="1012"/>
    </row>
    <row r="163" spans="31:31" ht="30.75" customHeight="1" x14ac:dyDescent="0.3">
      <c r="AE163" s="1012"/>
    </row>
    <row r="164" spans="31:31" ht="30.75" customHeight="1" x14ac:dyDescent="0.3">
      <c r="AE164" s="1012"/>
    </row>
    <row r="165" spans="31:31" ht="30.75" customHeight="1" x14ac:dyDescent="0.3">
      <c r="AE165" s="1012"/>
    </row>
    <row r="166" spans="31:31" ht="30.75" customHeight="1" x14ac:dyDescent="0.3">
      <c r="AE166" s="1012"/>
    </row>
    <row r="167" spans="31:31" ht="30.75" customHeight="1" x14ac:dyDescent="0.3">
      <c r="AE167" s="1012"/>
    </row>
    <row r="168" spans="31:31" ht="30.75" customHeight="1" x14ac:dyDescent="0.3">
      <c r="AE168" s="1012"/>
    </row>
    <row r="169" spans="31:31" ht="30.75" customHeight="1" x14ac:dyDescent="0.3">
      <c r="AE169" s="1012"/>
    </row>
    <row r="170" spans="31:31" ht="30.75" customHeight="1" x14ac:dyDescent="0.3">
      <c r="AE170" s="1012"/>
    </row>
    <row r="171" spans="31:31" ht="30.75" customHeight="1" x14ac:dyDescent="0.3">
      <c r="AE171" s="1012"/>
    </row>
    <row r="172" spans="31:31" ht="30.75" customHeight="1" x14ac:dyDescent="0.3">
      <c r="AE172" s="1012"/>
    </row>
    <row r="173" spans="31:31" ht="30.75" customHeight="1" x14ac:dyDescent="0.3">
      <c r="AE173" s="1012"/>
    </row>
    <row r="174" spans="31:31" ht="30.75" customHeight="1" x14ac:dyDescent="0.3">
      <c r="AE174" s="1012"/>
    </row>
    <row r="175" spans="31:31" ht="30.75" customHeight="1" x14ac:dyDescent="0.3">
      <c r="AE175" s="1012"/>
    </row>
    <row r="176" spans="31:31" ht="30.75" customHeight="1" x14ac:dyDescent="0.3">
      <c r="AE176" s="1012"/>
    </row>
    <row r="177" spans="31:31" ht="30.75" customHeight="1" x14ac:dyDescent="0.3">
      <c r="AE177" s="1012"/>
    </row>
    <row r="178" spans="31:31" ht="30.75" customHeight="1" x14ac:dyDescent="0.3">
      <c r="AE178" s="1012"/>
    </row>
    <row r="179" spans="31:31" ht="30.75" customHeight="1" x14ac:dyDescent="0.3">
      <c r="AE179" s="1012"/>
    </row>
    <row r="180" spans="31:31" ht="30.75" customHeight="1" x14ac:dyDescent="0.3">
      <c r="AE180" s="1012"/>
    </row>
    <row r="181" spans="31:31" ht="30.75" customHeight="1" x14ac:dyDescent="0.3">
      <c r="AE181" s="1012"/>
    </row>
    <row r="182" spans="31:31" ht="30.75" customHeight="1" x14ac:dyDescent="0.3">
      <c r="AE182" s="1012"/>
    </row>
    <row r="183" spans="31:31" ht="30.75" customHeight="1" x14ac:dyDescent="0.3">
      <c r="AE183" s="1012"/>
    </row>
    <row r="184" spans="31:31" ht="30.75" customHeight="1" x14ac:dyDescent="0.3">
      <c r="AE184" s="1012"/>
    </row>
    <row r="185" spans="31:31" ht="30.75" customHeight="1" x14ac:dyDescent="0.3">
      <c r="AE185" s="1012"/>
    </row>
    <row r="186" spans="31:31" ht="30.75" customHeight="1" x14ac:dyDescent="0.3">
      <c r="AE186" s="1012"/>
    </row>
    <row r="187" spans="31:31" ht="30.75" customHeight="1" x14ac:dyDescent="0.3">
      <c r="AE187" s="1012"/>
    </row>
    <row r="188" spans="31:31" ht="30.75" customHeight="1" x14ac:dyDescent="0.3">
      <c r="AE188" s="1012"/>
    </row>
    <row r="189" spans="31:31" ht="30.75" customHeight="1" x14ac:dyDescent="0.3">
      <c r="AE189" s="1012"/>
    </row>
  </sheetData>
  <sortState xmlns:xlrd2="http://schemas.microsoft.com/office/spreadsheetml/2017/richdata2" ref="AE4:AE189">
    <sortCondition descending="1" ref="AE4:AE189"/>
  </sortState>
  <mergeCells count="41">
    <mergeCell ref="C4:F4"/>
    <mergeCell ref="G4:J4"/>
    <mergeCell ref="K4:N4"/>
    <mergeCell ref="O4:R4"/>
    <mergeCell ref="S4:V4"/>
    <mergeCell ref="S9:V9"/>
    <mergeCell ref="B10:B11"/>
    <mergeCell ref="B14:B17"/>
    <mergeCell ref="C17:F17"/>
    <mergeCell ref="G17:J17"/>
    <mergeCell ref="K17:N17"/>
    <mergeCell ref="O17:R17"/>
    <mergeCell ref="B6:B9"/>
    <mergeCell ref="C9:F9"/>
    <mergeCell ref="G9:J9"/>
    <mergeCell ref="K9:N9"/>
    <mergeCell ref="O9:R9"/>
    <mergeCell ref="S15:V17"/>
    <mergeCell ref="B18:B20"/>
    <mergeCell ref="B23:B26"/>
    <mergeCell ref="C26:F26"/>
    <mergeCell ref="G26:J26"/>
    <mergeCell ref="K26:N26"/>
    <mergeCell ref="S26:V26"/>
    <mergeCell ref="B27:B28"/>
    <mergeCell ref="B31:B34"/>
    <mergeCell ref="C34:F34"/>
    <mergeCell ref="G34:J34"/>
    <mergeCell ref="K34:N34"/>
    <mergeCell ref="O34:R34"/>
    <mergeCell ref="S34:V34"/>
    <mergeCell ref="O26:R26"/>
    <mergeCell ref="O27:V28"/>
    <mergeCell ref="S42:V42"/>
    <mergeCell ref="B43:B44"/>
    <mergeCell ref="B35:B36"/>
    <mergeCell ref="B39:B42"/>
    <mergeCell ref="C42:F42"/>
    <mergeCell ref="G42:J42"/>
    <mergeCell ref="K42:N42"/>
    <mergeCell ref="O42:R42"/>
  </mergeCells>
  <phoneticPr fontId="2" type="noConversion"/>
  <conditionalFormatting sqref="A1:X14 AE1:AG45 AG4:AG111 AF4:AF189 AE5:AF51 AF6:AG110 X9:X111 A15:S15 W15:X17 A16:R17 A18:X26 AB22:AC44 A27:O27 W27:X28 A28:N28 A29:X45 AE52:AE55 AE53:AF56">
    <cfRule type="containsText" dxfId="72" priority="21" operator="containsText" text="더베스트 김효제">
      <formula>NOT(ISERROR(SEARCH("더베스트 김효제",A1)))</formula>
    </cfRule>
    <cfRule type="containsText" dxfId="71" priority="22" operator="containsText" text="트루">
      <formula>NOT(ISERROR(SEARCH("트루",A1)))</formula>
    </cfRule>
    <cfRule type="containsText" dxfId="70" priority="23" operator="containsText" text="현대홈">
      <formula>NOT(ISERROR(SEARCH("현대홈",A1)))</formula>
    </cfRule>
  </conditionalFormatting>
  <conditionalFormatting sqref="X73">
    <cfRule type="containsText" dxfId="69" priority="2" operator="containsText" text="더베스트 김효제">
      <formula>NOT(ISERROR(SEARCH("더베스트 김효제",X73)))</formula>
    </cfRule>
    <cfRule type="containsText" dxfId="68" priority="3" operator="containsText" text="트루">
      <formula>NOT(ISERROR(SEARCH("트루",X73)))</formula>
    </cfRule>
    <cfRule type="containsText" dxfId="67" priority="4" operator="containsText" text="현대홈">
      <formula>NOT(ISERROR(SEARCH("현대홈",X73)))</formula>
    </cfRule>
  </conditionalFormatting>
  <conditionalFormatting sqref="AB48:AC70">
    <cfRule type="containsText" dxfId="66" priority="11" operator="containsText" text="더베스트 김효제">
      <formula>NOT(ISERROR(SEARCH("더베스트 김효제",AB48)))</formula>
    </cfRule>
    <cfRule type="containsText" dxfId="65" priority="12" operator="containsText" text="트루">
      <formula>NOT(ISERROR(SEARCH("트루",AB48)))</formula>
    </cfRule>
    <cfRule type="containsText" dxfId="64" priority="13" operator="containsText" text="현대홈">
      <formula>NOT(ISERROR(SEARCH("현대홈",AB48)))</formula>
    </cfRule>
  </conditionalFormatting>
  <conditionalFormatting sqref="AF4:AF109">
    <cfRule type="cellIs" dxfId="63" priority="1" operator="equal">
      <formula>0</formula>
    </cfRule>
  </conditionalFormatting>
  <conditionalFormatting sqref="AF46:AF55">
    <cfRule type="containsText" dxfId="62" priority="15" operator="containsText" text="트루">
      <formula>NOT(ISERROR(SEARCH("트루",AF46)))</formula>
    </cfRule>
    <cfRule type="containsText" dxfId="61" priority="16" operator="containsText" text="현대홈">
      <formula>NOT(ISERROR(SEARCH("현대홈",AF46)))</formula>
    </cfRule>
  </conditionalFormatting>
  <conditionalFormatting sqref="AF46:AF109">
    <cfRule type="containsText" dxfId="60" priority="14" operator="containsText" text="더베스트 김효제">
      <formula>NOT(ISERROR(SEARCH("더베스트 김효제",AF46)))</formula>
    </cfRule>
  </conditionalFormatting>
  <conditionalFormatting sqref="AF53:AF109">
    <cfRule type="containsText" dxfId="59" priority="5" operator="containsText" text="더베스트 김효제">
      <formula>NOT(ISERROR(SEARCH("더베스트 김효제",AF53)))</formula>
    </cfRule>
    <cfRule type="containsText" dxfId="58" priority="6" operator="containsText" text="트루">
      <formula>NOT(ISERROR(SEARCH("트루",AF53)))</formula>
    </cfRule>
    <cfRule type="containsText" dxfId="57" priority="7" operator="containsText" text="현대홈">
      <formula>NOT(ISERROR(SEARCH("현대홈",AF53)))</formula>
    </cfRule>
  </conditionalFormatting>
  <conditionalFormatting sqref="AF4:AG109 AB19:AG1048576 X18:X110 A29:X1048576 AD1:AG18 AB1:AC3 A1:X14 AI1:XFD1048576 AD4:AD109 AB5:AC18 A15:S15 W15:X17 A16:R17 A18:X26 A27:O27 W27:X28 A28:N28">
    <cfRule type="containsText" dxfId="56" priority="20" operator="containsText" text="더베스트 이재명">
      <formula>NOT(ISERROR(SEARCH("더베스트 이재명",A1)))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BBEC-62CE-46EE-AA9C-4F1071C6456C}">
  <sheetPr>
    <tabColor rgb="FFC00000"/>
  </sheetPr>
  <dimension ref="B1:AH189"/>
  <sheetViews>
    <sheetView showGridLines="0" topLeftCell="A2" zoomScale="55" zoomScaleNormal="55" workbookViewId="0">
      <selection activeCell="O17" sqref="O17:R17"/>
    </sheetView>
  </sheetViews>
  <sheetFormatPr defaultRowHeight="30.75" customHeight="1" x14ac:dyDescent="0.3"/>
  <cols>
    <col min="1" max="1" width="2.75" style="1" customWidth="1"/>
    <col min="2" max="2" width="14" style="1" customWidth="1"/>
    <col min="3" max="3" width="8.375" style="1" customWidth="1"/>
    <col min="4" max="4" width="25.375" style="1" customWidth="1"/>
    <col min="5" max="6" width="9.125" style="1" customWidth="1"/>
    <col min="7" max="7" width="7.75" style="1" customWidth="1"/>
    <col min="8" max="8" width="25.375" style="1" customWidth="1"/>
    <col min="9" max="10" width="9.125" style="1" customWidth="1"/>
    <col min="11" max="11" width="7.75" style="1" customWidth="1"/>
    <col min="12" max="12" width="25.375" style="1" customWidth="1"/>
    <col min="13" max="14" width="9.125" style="1" customWidth="1"/>
    <col min="15" max="15" width="7.75" style="1" customWidth="1"/>
    <col min="16" max="16" width="25.375" style="1" customWidth="1"/>
    <col min="17" max="18" width="9.125" style="1" customWidth="1"/>
    <col min="19" max="19" width="7.75" style="1" customWidth="1"/>
    <col min="20" max="20" width="25.375" style="1" customWidth="1"/>
    <col min="21" max="22" width="9.125" style="1" customWidth="1"/>
    <col min="23" max="23" width="4.125" style="1" customWidth="1"/>
    <col min="24" max="24" width="9.125" style="1018" bestFit="1" customWidth="1"/>
    <col min="25" max="25" width="9.5" style="1019" bestFit="1" customWidth="1"/>
    <col min="28" max="28" width="9" style="1"/>
    <col min="29" max="29" width="17.75" style="1" customWidth="1"/>
    <col min="30" max="30" width="9" style="1"/>
    <col min="31" max="31" width="33.375" style="598" customWidth="1"/>
    <col min="32" max="32" width="13.25" style="1015" bestFit="1" customWidth="1"/>
    <col min="33" max="33" width="17.625" style="1" bestFit="1" customWidth="1"/>
    <col min="35" max="16384" width="9" style="1"/>
  </cols>
  <sheetData>
    <row r="1" spans="2:33" ht="30.75" customHeight="1" x14ac:dyDescent="0.3">
      <c r="B1" s="1041" t="s">
        <v>711</v>
      </c>
      <c r="AF1" s="1015">
        <f>SUM(AF4:AF1048)</f>
        <v>53</v>
      </c>
    </row>
    <row r="2" spans="2:33" ht="96" customHeight="1" thickBot="1" x14ac:dyDescent="0.35">
      <c r="B2" s="132" t="s">
        <v>498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</row>
    <row r="3" spans="2:33" ht="30.75" customHeight="1" thickTop="1" x14ac:dyDescent="0.3"/>
    <row r="4" spans="2:33" ht="30.75" customHeight="1" thickBot="1" x14ac:dyDescent="0.35">
      <c r="B4" s="4" t="s">
        <v>0</v>
      </c>
      <c r="C4" s="1077" t="s">
        <v>1</v>
      </c>
      <c r="D4" s="1077"/>
      <c r="E4" s="1077"/>
      <c r="F4" s="1077"/>
      <c r="G4" s="1077" t="s">
        <v>2</v>
      </c>
      <c r="H4" s="1077"/>
      <c r="I4" s="1077"/>
      <c r="J4" s="1077"/>
      <c r="K4" s="1077" t="s">
        <v>3</v>
      </c>
      <c r="L4" s="1077"/>
      <c r="M4" s="1077"/>
      <c r="N4" s="1077"/>
      <c r="O4" s="1077" t="s">
        <v>4</v>
      </c>
      <c r="P4" s="1077"/>
      <c r="Q4" s="1077"/>
      <c r="R4" s="1077"/>
      <c r="S4" s="1077" t="s">
        <v>5</v>
      </c>
      <c r="T4" s="1077"/>
      <c r="U4" s="1077"/>
      <c r="V4" s="1078"/>
      <c r="X4" s="1018">
        <v>1</v>
      </c>
      <c r="Y4" s="1019" t="str">
        <f t="shared" ref="Y4:Y67" si="0">VLOOKUP(X4,$AD$4:$AE$111,2,FALSE)</f>
        <v>현대홈 위대한</v>
      </c>
      <c r="AD4" s="1" t="str">
        <f>IF(AG4="","",COUNTIFS($AG$4:AG4,AG4))</f>
        <v/>
      </c>
      <c r="AE4" s="1017" t="s">
        <v>50</v>
      </c>
      <c r="AF4" s="1015">
        <f t="shared" ref="AF4:AF67" si="1">COUNTIFS($B$3:$V$46,AE4)</f>
        <v>1</v>
      </c>
      <c r="AG4" s="1" t="str">
        <f>IF(AF4=0,1,"")</f>
        <v/>
      </c>
    </row>
    <row r="5" spans="2:33" ht="30.75" customHeight="1" thickTop="1" thickBot="1" x14ac:dyDescent="0.35">
      <c r="B5" s="34" t="s">
        <v>28</v>
      </c>
      <c r="C5" s="854"/>
      <c r="D5" s="855"/>
      <c r="E5" s="855"/>
      <c r="F5" s="856"/>
      <c r="G5" s="854"/>
      <c r="H5" s="855"/>
      <c r="I5" s="855"/>
      <c r="J5" s="856"/>
      <c r="K5" s="854"/>
      <c r="L5" s="855"/>
      <c r="M5" s="855"/>
      <c r="N5" s="856"/>
      <c r="O5" s="902">
        <v>1</v>
      </c>
      <c r="P5" s="903" t="s">
        <v>499</v>
      </c>
      <c r="Q5" s="903" t="s">
        <v>500</v>
      </c>
      <c r="R5" s="904" t="s">
        <v>501</v>
      </c>
      <c r="S5" s="902">
        <f>O5+1</f>
        <v>2</v>
      </c>
      <c r="T5" s="903" t="s">
        <v>499</v>
      </c>
      <c r="U5" s="903" t="s">
        <v>500</v>
      </c>
      <c r="V5" s="905" t="s">
        <v>501</v>
      </c>
      <c r="X5" s="1018">
        <v>2</v>
      </c>
      <c r="Y5" s="1019" t="str">
        <f t="shared" si="0"/>
        <v>현대홈 용인</v>
      </c>
      <c r="AD5" s="1" t="str">
        <f>IF(AG5="","",COUNTIFS($AG$4:AG5,AG5))</f>
        <v/>
      </c>
      <c r="AE5" s="1012" t="s">
        <v>151</v>
      </c>
      <c r="AF5" s="1015">
        <f t="shared" si="1"/>
        <v>1</v>
      </c>
      <c r="AG5" s="1" t="str">
        <f t="shared" ref="AG5:AG68" si="2">IF(AF5=0,1,"")</f>
        <v/>
      </c>
    </row>
    <row r="6" spans="2:33" ht="30.75" customHeight="1" thickTop="1" x14ac:dyDescent="0.3">
      <c r="B6" s="1085" t="s">
        <v>9</v>
      </c>
      <c r="C6" s="857"/>
      <c r="D6" s="858"/>
      <c r="E6" s="859"/>
      <c r="F6" s="860"/>
      <c r="G6" s="857"/>
      <c r="H6" s="858"/>
      <c r="I6" s="859"/>
      <c r="J6" s="860"/>
      <c r="K6" s="857"/>
      <c r="L6" s="858"/>
      <c r="M6" s="859"/>
      <c r="N6" s="860"/>
      <c r="O6" s="882">
        <v>0.39583333333333331</v>
      </c>
      <c r="P6" s="883" t="s">
        <v>79</v>
      </c>
      <c r="Q6" s="884"/>
      <c r="R6" s="885"/>
      <c r="S6" s="882">
        <v>0.39583333333333331</v>
      </c>
      <c r="T6" s="883" t="s">
        <v>22</v>
      </c>
      <c r="U6" s="884"/>
      <c r="V6" s="886"/>
      <c r="X6" s="1018">
        <v>3</v>
      </c>
      <c r="Y6" s="1019" t="str">
        <f t="shared" si="0"/>
        <v>트루 효명당진</v>
      </c>
      <c r="AD6" s="1" t="str">
        <f>IF(AG6="","",COUNTIFS($AG$4:AG6,AG6))</f>
        <v/>
      </c>
      <c r="AE6" s="1012" t="s">
        <v>639</v>
      </c>
      <c r="AF6" s="1015">
        <f t="shared" si="1"/>
        <v>1</v>
      </c>
      <c r="AG6" s="1" t="str">
        <f t="shared" si="2"/>
        <v/>
      </c>
    </row>
    <row r="7" spans="2:33" ht="30.75" customHeight="1" x14ac:dyDescent="0.3">
      <c r="B7" s="1085"/>
      <c r="C7" s="861"/>
      <c r="D7" s="862"/>
      <c r="E7" s="863"/>
      <c r="F7" s="864"/>
      <c r="G7" s="865"/>
      <c r="H7" s="862"/>
      <c r="I7" s="863"/>
      <c r="J7" s="864"/>
      <c r="K7" s="865"/>
      <c r="L7" s="862"/>
      <c r="M7" s="863"/>
      <c r="N7" s="864"/>
      <c r="O7" s="906">
        <v>0.45833333333333331</v>
      </c>
      <c r="P7" s="888" t="s">
        <v>80</v>
      </c>
      <c r="Q7" s="889"/>
      <c r="R7" s="890"/>
      <c r="S7" s="906">
        <v>0.4375</v>
      </c>
      <c r="T7" s="888" t="s">
        <v>452</v>
      </c>
      <c r="U7" s="889"/>
      <c r="V7" s="891"/>
      <c r="X7" s="1018">
        <v>4</v>
      </c>
      <c r="Y7" s="1019" t="str">
        <f t="shared" si="0"/>
        <v>피플라이프 평택금융</v>
      </c>
      <c r="AD7" s="1">
        <f>IF(AG7="","",COUNTIFS($AG$4:AG7,AG7))</f>
        <v>1</v>
      </c>
      <c r="AE7" s="1012" t="s">
        <v>399</v>
      </c>
      <c r="AF7" s="1015">
        <f t="shared" si="1"/>
        <v>0</v>
      </c>
      <c r="AG7" s="1">
        <f t="shared" si="2"/>
        <v>1</v>
      </c>
    </row>
    <row r="8" spans="2:33" ht="30.75" customHeight="1" x14ac:dyDescent="0.3">
      <c r="B8" s="1085"/>
      <c r="C8" s="866"/>
      <c r="D8" s="867"/>
      <c r="E8" s="868"/>
      <c r="F8" s="869"/>
      <c r="G8" s="866"/>
      <c r="H8" s="867"/>
      <c r="I8" s="868"/>
      <c r="J8" s="869"/>
      <c r="K8" s="866"/>
      <c r="L8" s="867"/>
      <c r="M8" s="868"/>
      <c r="N8" s="869"/>
      <c r="O8" s="892"/>
      <c r="P8" s="893"/>
      <c r="Q8" s="894"/>
      <c r="R8" s="895"/>
      <c r="S8" s="1050"/>
      <c r="T8" s="1053" t="s">
        <v>716</v>
      </c>
      <c r="U8" s="1051"/>
      <c r="V8" s="1054"/>
      <c r="X8" s="1018">
        <v>5</v>
      </c>
      <c r="Y8" s="1019" t="str">
        <f t="shared" si="0"/>
        <v>피플라이프 오산</v>
      </c>
      <c r="AD8" s="1">
        <f>IF(AG8="","",COUNTIFS($AG$4:AG8,AG8))</f>
        <v>2</v>
      </c>
      <c r="AE8" s="1012" t="s">
        <v>264</v>
      </c>
      <c r="AF8" s="1015">
        <f t="shared" si="1"/>
        <v>0</v>
      </c>
      <c r="AG8" s="1">
        <f t="shared" si="2"/>
        <v>1</v>
      </c>
    </row>
    <row r="9" spans="2:33" ht="42" customHeight="1" x14ac:dyDescent="0.3">
      <c r="B9" s="1086"/>
      <c r="C9" s="1316"/>
      <c r="D9" s="1317"/>
      <c r="E9" s="1317"/>
      <c r="F9" s="1318"/>
      <c r="G9" s="1316"/>
      <c r="H9" s="1317"/>
      <c r="I9" s="1317"/>
      <c r="J9" s="1318"/>
      <c r="K9" s="1316"/>
      <c r="L9" s="1317"/>
      <c r="M9" s="1317"/>
      <c r="N9" s="1318"/>
      <c r="O9" s="1312"/>
      <c r="P9" s="1313"/>
      <c r="Q9" s="1313"/>
      <c r="R9" s="1319"/>
      <c r="S9" s="1315" t="s">
        <v>710</v>
      </c>
      <c r="T9" s="1247"/>
      <c r="U9" s="1247"/>
      <c r="V9" s="1247"/>
      <c r="X9" s="1018">
        <f>X8+1</f>
        <v>6</v>
      </c>
      <c r="Y9" s="1019" t="str">
        <f t="shared" si="0"/>
        <v>한보금 정도</v>
      </c>
      <c r="AD9" s="1" t="str">
        <f>IF(AG9="","",COUNTIFS($AG$4:AG9,AG9))</f>
        <v/>
      </c>
      <c r="AE9" s="1012" t="s">
        <v>152</v>
      </c>
      <c r="AF9" s="1015">
        <f t="shared" si="1"/>
        <v>1</v>
      </c>
      <c r="AG9" s="1" t="str">
        <f t="shared" si="2"/>
        <v/>
      </c>
    </row>
    <row r="10" spans="2:33" ht="30.75" customHeight="1" x14ac:dyDescent="0.3">
      <c r="B10" s="1087" t="s">
        <v>12</v>
      </c>
      <c r="C10" s="870"/>
      <c r="D10" s="871"/>
      <c r="E10" s="872"/>
      <c r="F10" s="873"/>
      <c r="G10" s="870"/>
      <c r="H10" s="871"/>
      <c r="I10" s="872"/>
      <c r="J10" s="873"/>
      <c r="K10" s="870"/>
      <c r="L10" s="871"/>
      <c r="M10" s="872"/>
      <c r="N10" s="873"/>
      <c r="O10" s="65">
        <v>0.39583333333333331</v>
      </c>
      <c r="P10" s="63" t="s">
        <v>184</v>
      </c>
      <c r="Q10" s="64"/>
      <c r="R10" s="66"/>
      <c r="S10" s="65">
        <v>0.39583333333333331</v>
      </c>
      <c r="T10" s="63" t="s">
        <v>216</v>
      </c>
      <c r="U10" s="64"/>
      <c r="V10" s="67"/>
      <c r="X10" s="1018">
        <f t="shared" ref="X10:X73" si="3">X9+1</f>
        <v>7</v>
      </c>
      <c r="Y10" s="1019" t="str">
        <f t="shared" si="0"/>
        <v>프라임 화성1</v>
      </c>
      <c r="AD10" s="1" t="str">
        <f>IF(AG10="","",COUNTIFS($AG$4:AG10,AG10))</f>
        <v/>
      </c>
      <c r="AE10" s="1012" t="s">
        <v>180</v>
      </c>
      <c r="AF10" s="1015">
        <f t="shared" si="1"/>
        <v>1</v>
      </c>
      <c r="AG10" s="1" t="str">
        <f t="shared" si="2"/>
        <v/>
      </c>
    </row>
    <row r="11" spans="2:33" ht="30.75" customHeight="1" x14ac:dyDescent="0.3">
      <c r="B11" s="1088"/>
      <c r="C11" s="874"/>
      <c r="D11" s="875"/>
      <c r="E11" s="876"/>
      <c r="F11" s="877"/>
      <c r="G11" s="874"/>
      <c r="H11" s="875"/>
      <c r="I11" s="876"/>
      <c r="J11" s="877"/>
      <c r="K11" s="874"/>
      <c r="L11" s="875"/>
      <c r="M11" s="876"/>
      <c r="N11" s="877"/>
      <c r="O11" s="72"/>
      <c r="P11" s="70"/>
      <c r="Q11" s="71"/>
      <c r="R11" s="73"/>
      <c r="S11" s="72">
        <v>0.58333333333333337</v>
      </c>
      <c r="T11" s="70" t="s">
        <v>459</v>
      </c>
      <c r="U11" s="71"/>
      <c r="V11" s="74"/>
      <c r="X11" s="1018">
        <f t="shared" si="3"/>
        <v>8</v>
      </c>
      <c r="Y11" s="1019" t="str">
        <f t="shared" si="0"/>
        <v>프라임 평택8</v>
      </c>
      <c r="AD11" s="1" t="str">
        <f>IF(AG11="","",COUNTIFS($AG$4:AG11,AG11))</f>
        <v/>
      </c>
      <c r="AE11" s="1012" t="s">
        <v>144</v>
      </c>
      <c r="AF11" s="1015">
        <f t="shared" si="1"/>
        <v>1</v>
      </c>
      <c r="AG11" s="1" t="str">
        <f t="shared" si="2"/>
        <v/>
      </c>
    </row>
    <row r="12" spans="2:33" ht="30.75" customHeight="1" x14ac:dyDescent="0.3">
      <c r="B12" s="18" t="s">
        <v>13</v>
      </c>
      <c r="C12" s="878"/>
      <c r="D12" s="879"/>
      <c r="E12" s="880"/>
      <c r="F12" s="881"/>
      <c r="G12" s="878"/>
      <c r="H12" s="879"/>
      <c r="I12" s="880"/>
      <c r="J12" s="881"/>
      <c r="K12" s="878"/>
      <c r="L12" s="879"/>
      <c r="M12" s="880"/>
      <c r="N12" s="881"/>
      <c r="O12" s="897"/>
      <c r="P12" s="898"/>
      <c r="Q12" s="899"/>
      <c r="R12" s="900"/>
      <c r="S12" s="907"/>
      <c r="T12" s="898"/>
      <c r="U12" s="899"/>
      <c r="V12" s="901"/>
      <c r="X12" s="1018">
        <f t="shared" si="3"/>
        <v>9</v>
      </c>
      <c r="Y12" s="1019" t="str">
        <f t="shared" si="0"/>
        <v>프라임 평택3</v>
      </c>
      <c r="AD12" s="1" t="str">
        <f>IF(AG12="","",COUNTIFS($AG$4:AG12,AG12))</f>
        <v/>
      </c>
      <c r="AE12" s="1012" t="s">
        <v>261</v>
      </c>
      <c r="AF12" s="1015">
        <f t="shared" si="1"/>
        <v>1</v>
      </c>
      <c r="AG12" s="1" t="str">
        <f t="shared" si="2"/>
        <v/>
      </c>
    </row>
    <row r="13" spans="2:33" ht="30.75" customHeight="1" thickBot="1" x14ac:dyDescent="0.35">
      <c r="B13" s="35" t="s">
        <v>29</v>
      </c>
      <c r="C13" s="2">
        <v>5</v>
      </c>
      <c r="D13" s="3" t="s">
        <v>499</v>
      </c>
      <c r="E13" s="3" t="s">
        <v>500</v>
      </c>
      <c r="F13" s="4" t="s">
        <v>501</v>
      </c>
      <c r="G13" s="5">
        <f>C13+1</f>
        <v>6</v>
      </c>
      <c r="H13" s="3" t="s">
        <v>499</v>
      </c>
      <c r="I13" s="3" t="s">
        <v>500</v>
      </c>
      <c r="J13" s="6" t="s">
        <v>501</v>
      </c>
      <c r="K13" s="5">
        <f>G13+1</f>
        <v>7</v>
      </c>
      <c r="L13" s="3" t="s">
        <v>499</v>
      </c>
      <c r="M13" s="3" t="s">
        <v>500</v>
      </c>
      <c r="N13" s="6" t="s">
        <v>501</v>
      </c>
      <c r="O13" s="5">
        <f>K13+1</f>
        <v>8</v>
      </c>
      <c r="P13" s="3" t="s">
        <v>499</v>
      </c>
      <c r="Q13" s="3" t="s">
        <v>500</v>
      </c>
      <c r="R13" s="6" t="s">
        <v>501</v>
      </c>
      <c r="S13" s="5">
        <f>O13+1</f>
        <v>9</v>
      </c>
      <c r="T13" s="3" t="s">
        <v>499</v>
      </c>
      <c r="U13" s="3" t="s">
        <v>500</v>
      </c>
      <c r="V13" s="16" t="s">
        <v>501</v>
      </c>
      <c r="X13" s="1018">
        <f t="shared" si="3"/>
        <v>10</v>
      </c>
      <c r="Y13" s="1019" t="str">
        <f t="shared" si="0"/>
        <v>프라임 평택1</v>
      </c>
      <c r="AD13" s="1" t="str">
        <f>IF(AG13="","",COUNTIFS($AG$4:AG13,AG13))</f>
        <v/>
      </c>
      <c r="AE13" s="1012" t="s">
        <v>213</v>
      </c>
      <c r="AF13" s="1015">
        <f t="shared" si="1"/>
        <v>1</v>
      </c>
      <c r="AG13" s="1" t="str">
        <f t="shared" si="2"/>
        <v/>
      </c>
    </row>
    <row r="14" spans="2:33" ht="30.75" customHeight="1" thickTop="1" x14ac:dyDescent="0.3">
      <c r="B14" s="1085" t="s">
        <v>9</v>
      </c>
      <c r="C14" s="241"/>
      <c r="D14" s="213"/>
      <c r="E14" s="214"/>
      <c r="F14" s="242"/>
      <c r="G14" s="40">
        <v>0.39583333333333331</v>
      </c>
      <c r="H14" s="37" t="s">
        <v>659</v>
      </c>
      <c r="I14" s="38"/>
      <c r="J14" s="41"/>
      <c r="K14" s="1022">
        <v>0.39583333333333331</v>
      </c>
      <c r="L14" s="1023" t="s">
        <v>150</v>
      </c>
      <c r="M14" s="1024"/>
      <c r="N14" s="1025"/>
      <c r="O14" s="337">
        <v>0.375</v>
      </c>
      <c r="P14" s="338" t="s">
        <v>205</v>
      </c>
      <c r="Q14" s="339" t="s">
        <v>702</v>
      </c>
      <c r="R14" s="340"/>
      <c r="S14" s="212"/>
      <c r="T14" s="213"/>
      <c r="U14" s="214"/>
      <c r="V14" s="216"/>
      <c r="X14" s="1018">
        <f t="shared" si="3"/>
        <v>11</v>
      </c>
      <c r="Y14" s="1019" t="str">
        <f t="shared" si="0"/>
        <v>인슈프라자 인천</v>
      </c>
      <c r="AD14" s="1" t="str">
        <f>IF(AG14="","",COUNTIFS($AG$4:AG14,AG14))</f>
        <v/>
      </c>
      <c r="AE14" s="1012" t="s">
        <v>263</v>
      </c>
      <c r="AF14" s="1015">
        <f t="shared" si="1"/>
        <v>1</v>
      </c>
      <c r="AG14" s="1" t="str">
        <f t="shared" si="2"/>
        <v/>
      </c>
    </row>
    <row r="15" spans="2:33" ht="30.75" customHeight="1" x14ac:dyDescent="0.3">
      <c r="B15" s="1085"/>
      <c r="C15" s="243"/>
      <c r="D15" s="218"/>
      <c r="E15" s="219"/>
      <c r="F15" s="244"/>
      <c r="G15" s="50">
        <v>0.45833333333333331</v>
      </c>
      <c r="H15" s="45" t="s">
        <v>708</v>
      </c>
      <c r="I15" s="46"/>
      <c r="J15" s="49"/>
      <c r="K15" s="50">
        <v>0.5625</v>
      </c>
      <c r="L15" s="45" t="s">
        <v>355</v>
      </c>
      <c r="M15" s="46"/>
      <c r="N15" s="49"/>
      <c r="O15" s="50">
        <v>0.4375</v>
      </c>
      <c r="P15" s="45" t="s">
        <v>50</v>
      </c>
      <c r="Q15" s="46"/>
      <c r="R15" s="49"/>
      <c r="S15" s="221"/>
      <c r="T15" s="218"/>
      <c r="U15" s="219"/>
      <c r="V15" s="222"/>
      <c r="X15" s="1018">
        <f t="shared" si="3"/>
        <v>12</v>
      </c>
      <c r="Y15" s="1019" t="str">
        <f t="shared" si="0"/>
        <v>삼금파 병점</v>
      </c>
      <c r="AD15" s="1" t="str">
        <f>IF(AG15="","",COUNTIFS($AG$4:AG15,AG15))</f>
        <v/>
      </c>
      <c r="AE15" s="1012" t="s">
        <v>265</v>
      </c>
      <c r="AF15" s="1015">
        <f t="shared" si="1"/>
        <v>1</v>
      </c>
      <c r="AG15" s="1" t="str">
        <f t="shared" si="2"/>
        <v/>
      </c>
    </row>
    <row r="16" spans="2:33" ht="30.75" customHeight="1" x14ac:dyDescent="0.3">
      <c r="B16" s="1085"/>
      <c r="C16" s="245"/>
      <c r="D16" s="224"/>
      <c r="E16" s="225"/>
      <c r="F16" s="246"/>
      <c r="G16" s="57"/>
      <c r="H16" s="54"/>
      <c r="I16" s="55"/>
      <c r="J16" s="58"/>
      <c r="K16" s="258">
        <v>0.625</v>
      </c>
      <c r="L16" s="54" t="s">
        <v>709</v>
      </c>
      <c r="M16" s="55"/>
      <c r="N16" s="58"/>
      <c r="O16" s="57"/>
      <c r="P16" s="54"/>
      <c r="Q16" s="55"/>
      <c r="R16" s="58"/>
      <c r="S16" s="223"/>
      <c r="T16" s="224"/>
      <c r="U16" s="225"/>
      <c r="V16" s="227"/>
      <c r="X16" s="1018">
        <f t="shared" si="3"/>
        <v>13</v>
      </c>
      <c r="Y16" s="1019" t="str">
        <f t="shared" si="0"/>
        <v>인카 스카이</v>
      </c>
      <c r="AD16" s="1" t="str">
        <f>IF(AG16="","",COUNTIFS($AG$4:AG16,AG16))</f>
        <v/>
      </c>
      <c r="AE16" s="1012" t="s">
        <v>283</v>
      </c>
      <c r="AF16" s="1015">
        <f t="shared" si="1"/>
        <v>1</v>
      </c>
      <c r="AG16" s="1" t="str">
        <f t="shared" si="2"/>
        <v/>
      </c>
    </row>
    <row r="17" spans="2:33" ht="42" customHeight="1" x14ac:dyDescent="0.3">
      <c r="B17" s="1086"/>
      <c r="C17" s="1124"/>
      <c r="D17" s="1122"/>
      <c r="E17" s="1122"/>
      <c r="F17" s="1123"/>
      <c r="G17" s="1314" t="s">
        <v>715</v>
      </c>
      <c r="H17" s="1307"/>
      <c r="I17" s="1307"/>
      <c r="J17" s="1308"/>
      <c r="K17" s="1303" t="s">
        <v>706</v>
      </c>
      <c r="L17" s="1304"/>
      <c r="M17" s="1304"/>
      <c r="N17" s="1305"/>
      <c r="O17" s="1102"/>
      <c r="P17" s="1103"/>
      <c r="Q17" s="1103"/>
      <c r="R17" s="1109"/>
      <c r="S17" s="1121"/>
      <c r="T17" s="1122"/>
      <c r="U17" s="1122"/>
      <c r="V17" s="1122"/>
      <c r="X17" s="1018">
        <f t="shared" si="3"/>
        <v>14</v>
      </c>
      <c r="Y17" s="1019" t="str">
        <f t="shared" si="0"/>
        <v>인카 다이렉트비전</v>
      </c>
      <c r="AD17" s="1" t="str">
        <f>IF(AG17="","",COUNTIFS($AG$4:AG17,AG17))</f>
        <v/>
      </c>
      <c r="AE17" s="1012" t="s">
        <v>284</v>
      </c>
      <c r="AF17" s="1015">
        <f t="shared" si="1"/>
        <v>2</v>
      </c>
      <c r="AG17" s="1" t="str">
        <f t="shared" si="2"/>
        <v/>
      </c>
    </row>
    <row r="18" spans="2:33" ht="30.75" customHeight="1" x14ac:dyDescent="0.3">
      <c r="B18" s="1079" t="s">
        <v>12</v>
      </c>
      <c r="C18" s="199"/>
      <c r="D18" s="200"/>
      <c r="E18" s="201"/>
      <c r="F18" s="202"/>
      <c r="G18" s="65">
        <v>0.39583333333333331</v>
      </c>
      <c r="H18" s="63" t="s">
        <v>208</v>
      </c>
      <c r="I18" s="64"/>
      <c r="J18" s="66"/>
      <c r="K18" s="65">
        <v>0.39583333333333331</v>
      </c>
      <c r="L18" s="63" t="s">
        <v>206</v>
      </c>
      <c r="M18" s="64"/>
      <c r="N18" s="66"/>
      <c r="O18" s="65">
        <v>0.39583333333333331</v>
      </c>
      <c r="P18" s="63" t="s">
        <v>639</v>
      </c>
      <c r="Q18" s="64"/>
      <c r="R18" s="66"/>
      <c r="S18" s="228"/>
      <c r="T18" s="200"/>
      <c r="U18" s="201"/>
      <c r="V18" s="230"/>
      <c r="X18" s="1018">
        <f t="shared" si="3"/>
        <v>15</v>
      </c>
      <c r="Y18" s="1019" t="str">
        <f t="shared" si="0"/>
        <v>인카 이든</v>
      </c>
      <c r="AD18" s="1">
        <f>IF(AG18="","",COUNTIFS($AG$4:AG18,AG18))</f>
        <v>3</v>
      </c>
      <c r="AE18" s="1012" t="s">
        <v>654</v>
      </c>
      <c r="AF18" s="1015">
        <f t="shared" si="1"/>
        <v>0</v>
      </c>
      <c r="AG18" s="1">
        <f t="shared" si="2"/>
        <v>1</v>
      </c>
    </row>
    <row r="19" spans="2:33" ht="30.75" customHeight="1" x14ac:dyDescent="0.3">
      <c r="B19" s="1080"/>
      <c r="C19" s="203"/>
      <c r="D19" s="204"/>
      <c r="E19" s="205"/>
      <c r="F19" s="206"/>
      <c r="G19" s="72">
        <v>0.58333333333333337</v>
      </c>
      <c r="H19" s="70" t="s">
        <v>661</v>
      </c>
      <c r="I19" s="71"/>
      <c r="J19" s="73"/>
      <c r="K19" s="1037">
        <v>0.46527777777777779</v>
      </c>
      <c r="L19" s="1038" t="s">
        <v>170</v>
      </c>
      <c r="M19" s="1039"/>
      <c r="N19" s="1040"/>
      <c r="O19" s="72"/>
      <c r="P19" s="70"/>
      <c r="Q19" s="71"/>
      <c r="R19" s="73"/>
      <c r="S19" s="231"/>
      <c r="T19" s="204"/>
      <c r="U19" s="205"/>
      <c r="V19" s="233"/>
      <c r="X19" s="1018">
        <f t="shared" si="3"/>
        <v>16</v>
      </c>
      <c r="Y19" s="1019" t="str">
        <f t="shared" si="0"/>
        <v>인카 스마트평택</v>
      </c>
      <c r="AD19" s="1" t="str">
        <f>IF(AG19="","",COUNTIFS($AG$4:AG19,AG19))</f>
        <v/>
      </c>
      <c r="AE19" s="1012" t="s">
        <v>361</v>
      </c>
      <c r="AF19" s="1015">
        <f t="shared" si="1"/>
        <v>1</v>
      </c>
      <c r="AG19" s="1" t="str">
        <f t="shared" si="2"/>
        <v/>
      </c>
    </row>
    <row r="20" spans="2:33" ht="30.75" customHeight="1" x14ac:dyDescent="0.3">
      <c r="B20" s="9" t="s">
        <v>13</v>
      </c>
      <c r="C20" s="247"/>
      <c r="D20" s="235"/>
      <c r="E20" s="236"/>
      <c r="F20" s="248"/>
      <c r="G20" s="13"/>
      <c r="H20" s="11"/>
      <c r="I20" s="12"/>
      <c r="J20" s="14"/>
      <c r="K20" s="13"/>
      <c r="L20" s="11"/>
      <c r="M20" s="12"/>
      <c r="N20" s="14"/>
      <c r="O20" s="13"/>
      <c r="P20" s="11"/>
      <c r="Q20" s="12"/>
      <c r="R20" s="14"/>
      <c r="S20" s="238"/>
      <c r="T20" s="235"/>
      <c r="U20" s="236"/>
      <c r="V20" s="239"/>
      <c r="X20" s="1018">
        <f t="shared" si="3"/>
        <v>17</v>
      </c>
      <c r="Y20" s="1019" t="str">
        <f t="shared" si="0"/>
        <v>메타리치 하이리치</v>
      </c>
      <c r="AD20" s="1" t="str">
        <f>IF(AG20="","",COUNTIFS($AG$4:AG20,AG20))</f>
        <v/>
      </c>
      <c r="AE20" s="1012" t="s">
        <v>384</v>
      </c>
      <c r="AF20" s="1015">
        <f t="shared" si="1"/>
        <v>1</v>
      </c>
      <c r="AG20" s="1" t="str">
        <f t="shared" si="2"/>
        <v/>
      </c>
    </row>
    <row r="21" spans="2:33" ht="30.75" customHeight="1" thickBot="1" x14ac:dyDescent="0.35">
      <c r="B21" s="35" t="s">
        <v>30</v>
      </c>
      <c r="C21" s="2">
        <f>S13+3</f>
        <v>12</v>
      </c>
      <c r="D21" s="3" t="s">
        <v>499</v>
      </c>
      <c r="E21" s="3" t="s">
        <v>500</v>
      </c>
      <c r="F21" s="4" t="s">
        <v>501</v>
      </c>
      <c r="G21" s="5">
        <f>C21+1</f>
        <v>13</v>
      </c>
      <c r="H21" s="3" t="s">
        <v>499</v>
      </c>
      <c r="I21" s="3" t="s">
        <v>500</v>
      </c>
      <c r="J21" s="6" t="s">
        <v>501</v>
      </c>
      <c r="K21" s="5">
        <f>G21+1</f>
        <v>14</v>
      </c>
      <c r="L21" s="3" t="s">
        <v>499</v>
      </c>
      <c r="M21" s="3" t="s">
        <v>500</v>
      </c>
      <c r="N21" s="6" t="s">
        <v>501</v>
      </c>
      <c r="O21" s="5">
        <f>K21+1</f>
        <v>15</v>
      </c>
      <c r="P21" s="3" t="s">
        <v>499</v>
      </c>
      <c r="Q21" s="3" t="s">
        <v>500</v>
      </c>
      <c r="R21" s="6" t="s">
        <v>501</v>
      </c>
      <c r="S21" s="5">
        <f>O21+1</f>
        <v>16</v>
      </c>
      <c r="T21" s="3" t="s">
        <v>499</v>
      </c>
      <c r="U21" s="3" t="s">
        <v>500</v>
      </c>
      <c r="V21" s="16" t="s">
        <v>501</v>
      </c>
      <c r="X21" s="1018">
        <f t="shared" si="3"/>
        <v>18</v>
      </c>
      <c r="Y21" s="1019" t="str">
        <f t="shared" si="0"/>
        <v>더베스트 이재명 평택</v>
      </c>
      <c r="AD21" s="1">
        <f>IF(AG21="","",COUNTIFS($AG$4:AG21,AG21))</f>
        <v>4</v>
      </c>
      <c r="AE21" s="1013" t="s">
        <v>621</v>
      </c>
      <c r="AF21" s="1015">
        <f t="shared" si="1"/>
        <v>0</v>
      </c>
      <c r="AG21" s="1">
        <f t="shared" si="2"/>
        <v>1</v>
      </c>
    </row>
    <row r="22" spans="2:33" ht="30.75" customHeight="1" thickTop="1" x14ac:dyDescent="0.3">
      <c r="B22" s="1085" t="s">
        <v>9</v>
      </c>
      <c r="C22" s="1042">
        <v>0.39583333333333331</v>
      </c>
      <c r="D22" s="1043" t="s">
        <v>154</v>
      </c>
      <c r="E22" s="1044"/>
      <c r="F22" s="1045"/>
      <c r="G22" s="40">
        <v>0.375</v>
      </c>
      <c r="H22" s="37" t="s">
        <v>284</v>
      </c>
      <c r="I22" s="38"/>
      <c r="J22" s="41"/>
      <c r="K22" s="40">
        <v>0.375</v>
      </c>
      <c r="L22" s="37" t="s">
        <v>352</v>
      </c>
      <c r="M22" s="38"/>
      <c r="N22" s="41"/>
      <c r="O22" s="40">
        <v>0.39583333333333331</v>
      </c>
      <c r="P22" s="37" t="s">
        <v>656</v>
      </c>
      <c r="Q22" s="38"/>
      <c r="R22" s="41"/>
      <c r="S22" s="40">
        <v>0.39583333333333331</v>
      </c>
      <c r="T22" s="37" t="s">
        <v>141</v>
      </c>
      <c r="U22" s="38"/>
      <c r="V22" s="43"/>
      <c r="X22" s="1018">
        <f t="shared" si="3"/>
        <v>19</v>
      </c>
      <c r="Y22" s="1019" t="str">
        <f t="shared" si="0"/>
        <v>더베스트 이재명 수원</v>
      </c>
      <c r="AD22" s="1" t="str">
        <f>IF(AG22="","",COUNTIFS($AG$4:AG22,AG22))</f>
        <v/>
      </c>
      <c r="AE22" s="1013" t="s">
        <v>205</v>
      </c>
      <c r="AF22" s="1015">
        <f t="shared" si="1"/>
        <v>1</v>
      </c>
      <c r="AG22" s="1" t="str">
        <f t="shared" si="2"/>
        <v/>
      </c>
    </row>
    <row r="23" spans="2:33" ht="30.75" customHeight="1" x14ac:dyDescent="0.3">
      <c r="B23" s="1085"/>
      <c r="C23" s="240"/>
      <c r="D23" s="45"/>
      <c r="E23" s="46"/>
      <c r="F23" s="47"/>
      <c r="G23" s="50">
        <v>0.45833333333333331</v>
      </c>
      <c r="H23" s="45" t="s">
        <v>237</v>
      </c>
      <c r="I23" s="46"/>
      <c r="J23" s="49"/>
      <c r="K23" s="50"/>
      <c r="L23" s="45"/>
      <c r="M23" s="46"/>
      <c r="N23" s="49"/>
      <c r="O23" s="1065"/>
      <c r="P23" s="1066" t="s">
        <v>727</v>
      </c>
      <c r="Q23" s="1067"/>
      <c r="R23" s="1068"/>
      <c r="S23" s="50"/>
      <c r="T23" s="45"/>
      <c r="U23" s="46"/>
      <c r="V23" s="52"/>
      <c r="X23" s="1018">
        <f t="shared" si="3"/>
        <v>20</v>
      </c>
      <c r="Y23" s="1019" t="str">
        <f t="shared" si="0"/>
        <v>더베스트 이재명 당진</v>
      </c>
      <c r="AD23" s="1">
        <f>IF(AG23="","",COUNTIFS($AG$4:AG23,AG23))</f>
        <v>5</v>
      </c>
      <c r="AE23" s="1013" t="s">
        <v>140</v>
      </c>
      <c r="AF23" s="1015">
        <f t="shared" si="1"/>
        <v>0</v>
      </c>
      <c r="AG23" s="1">
        <f t="shared" si="2"/>
        <v>1</v>
      </c>
    </row>
    <row r="24" spans="2:33" ht="30.75" customHeight="1" x14ac:dyDescent="0.3">
      <c r="B24" s="1085"/>
      <c r="C24" s="1050"/>
      <c r="D24" s="1053" t="s">
        <v>717</v>
      </c>
      <c r="E24" s="1051"/>
      <c r="F24" s="1052"/>
      <c r="G24" s="57"/>
      <c r="H24" s="54"/>
      <c r="I24" s="55"/>
      <c r="J24" s="58"/>
      <c r="K24" s="1050"/>
      <c r="L24" s="1053" t="s">
        <v>722</v>
      </c>
      <c r="M24" s="1051"/>
      <c r="N24" s="1052"/>
      <c r="O24" s="1069"/>
      <c r="P24" s="1070" t="s">
        <v>726</v>
      </c>
      <c r="Q24" s="1071"/>
      <c r="R24" s="1072"/>
      <c r="S24" s="1050"/>
      <c r="T24" s="1053" t="s">
        <v>718</v>
      </c>
      <c r="U24" s="1051"/>
      <c r="V24" s="1054"/>
      <c r="X24" s="1018">
        <f t="shared" si="3"/>
        <v>21</v>
      </c>
      <c r="Y24" s="1019" t="str">
        <f t="shared" si="0"/>
        <v>더베스트 김효제 동탄</v>
      </c>
      <c r="AD24" s="1">
        <f>IF(AG24="","",COUNTIFS($AG$4:AG24,AG24))</f>
        <v>6</v>
      </c>
      <c r="AE24" s="1012" t="s">
        <v>95</v>
      </c>
      <c r="AF24" s="1015">
        <f t="shared" si="1"/>
        <v>0</v>
      </c>
      <c r="AG24" s="1">
        <f t="shared" si="2"/>
        <v>1</v>
      </c>
    </row>
    <row r="25" spans="2:33" ht="42" customHeight="1" x14ac:dyDescent="0.3">
      <c r="B25" s="1086"/>
      <c r="C25" s="1314" t="s">
        <v>701</v>
      </c>
      <c r="D25" s="1307"/>
      <c r="E25" s="1307"/>
      <c r="F25" s="1308"/>
      <c r="G25" s="1102"/>
      <c r="H25" s="1103"/>
      <c r="I25" s="1103"/>
      <c r="J25" s="1109"/>
      <c r="K25" s="1303" t="s">
        <v>723</v>
      </c>
      <c r="L25" s="1304"/>
      <c r="M25" s="1304"/>
      <c r="N25" s="1305"/>
      <c r="O25" s="1102"/>
      <c r="P25" s="1103"/>
      <c r="Q25" s="1103"/>
      <c r="R25" s="1109"/>
      <c r="S25" s="1102"/>
      <c r="T25" s="1103"/>
      <c r="U25" s="1103"/>
      <c r="V25" s="1103"/>
      <c r="X25" s="1018">
        <f t="shared" si="3"/>
        <v>22</v>
      </c>
      <c r="Y25" s="1019" t="str">
        <f t="shared" si="0"/>
        <v>더베스트 김효제 남양</v>
      </c>
      <c r="AD25" s="1" t="str">
        <f>IF(AG25="","",COUNTIFS($AG$4:AG25,AG25))</f>
        <v/>
      </c>
      <c r="AE25" s="1014" t="s">
        <v>655</v>
      </c>
      <c r="AF25" s="1015">
        <f t="shared" si="1"/>
        <v>1</v>
      </c>
      <c r="AG25" s="1" t="str">
        <f t="shared" si="2"/>
        <v/>
      </c>
    </row>
    <row r="26" spans="2:33" ht="30.75" customHeight="1" x14ac:dyDescent="0.3">
      <c r="B26" s="1079" t="s">
        <v>12</v>
      </c>
      <c r="C26" s="62">
        <v>0.39583333333333331</v>
      </c>
      <c r="D26" s="63" t="s">
        <v>215</v>
      </c>
      <c r="E26" s="64"/>
      <c r="F26" s="61"/>
      <c r="G26" s="65">
        <v>0.375</v>
      </c>
      <c r="H26" s="63" t="s">
        <v>468</v>
      </c>
      <c r="I26" s="64"/>
      <c r="J26" s="66"/>
      <c r="K26" s="65">
        <v>0.39583333333333331</v>
      </c>
      <c r="L26" s="63" t="s">
        <v>263</v>
      </c>
      <c r="M26" s="64"/>
      <c r="N26" s="66"/>
      <c r="O26" s="65">
        <v>0.39583333333333331</v>
      </c>
      <c r="P26" s="63" t="s">
        <v>703</v>
      </c>
      <c r="Q26" s="64"/>
      <c r="R26" s="66"/>
      <c r="S26" s="65">
        <v>0.39583333333333331</v>
      </c>
      <c r="T26" s="63" t="s">
        <v>207</v>
      </c>
      <c r="U26" s="64"/>
      <c r="V26" s="67"/>
      <c r="X26" s="1018">
        <f t="shared" si="3"/>
        <v>23</v>
      </c>
      <c r="Y26" s="1019" t="str">
        <f t="shared" si="0"/>
        <v>더베스트 김효제 경기프리미엄</v>
      </c>
      <c r="AD26" s="1" t="str">
        <f>IF(AG26="","",COUNTIFS($AG$4:AG26,AG26))</f>
        <v/>
      </c>
      <c r="AE26" s="1014" t="s">
        <v>656</v>
      </c>
      <c r="AF26" s="1015">
        <f t="shared" si="1"/>
        <v>1</v>
      </c>
      <c r="AG26" s="1" t="str">
        <f t="shared" si="2"/>
        <v/>
      </c>
    </row>
    <row r="27" spans="2:33" ht="30.75" customHeight="1" x14ac:dyDescent="0.3">
      <c r="B27" s="1080"/>
      <c r="C27" s="69">
        <v>0.44444444444444442</v>
      </c>
      <c r="D27" s="70" t="s">
        <v>456</v>
      </c>
      <c r="E27" s="71"/>
      <c r="F27" s="68"/>
      <c r="G27" s="72">
        <v>0.41666666666666669</v>
      </c>
      <c r="H27" s="70" t="s">
        <v>645</v>
      </c>
      <c r="I27" s="71"/>
      <c r="J27" s="73"/>
      <c r="K27" s="72"/>
      <c r="L27" s="70"/>
      <c r="M27" s="71"/>
      <c r="N27" s="73"/>
      <c r="O27" s="72">
        <v>0.45833333333333331</v>
      </c>
      <c r="P27" s="70" t="s">
        <v>455</v>
      </c>
      <c r="Q27" s="71"/>
      <c r="R27" s="73"/>
      <c r="S27" s="1037">
        <v>0.41666666666666669</v>
      </c>
      <c r="T27" s="1038" t="s">
        <v>144</v>
      </c>
      <c r="U27" s="71"/>
      <c r="V27" s="74"/>
      <c r="X27" s="1018">
        <f t="shared" si="3"/>
        <v>24</v>
      </c>
      <c r="Y27" s="1019" t="str">
        <f t="shared" si="0"/>
        <v>더베스트 김효제 경기VIP</v>
      </c>
      <c r="AD27" s="1">
        <f>IF(AG27="","",COUNTIFS($AG$4:AG27,AG27))</f>
        <v>7</v>
      </c>
      <c r="AE27" s="1014" t="s">
        <v>657</v>
      </c>
      <c r="AF27" s="1015">
        <f t="shared" si="1"/>
        <v>0</v>
      </c>
      <c r="AG27" s="1">
        <f t="shared" si="2"/>
        <v>1</v>
      </c>
    </row>
    <row r="28" spans="2:33" ht="30.75" customHeight="1" x14ac:dyDescent="0.3">
      <c r="B28" s="9" t="s">
        <v>13</v>
      </c>
      <c r="C28" s="10"/>
      <c r="D28" s="11"/>
      <c r="E28" s="12"/>
      <c r="F28" s="9"/>
      <c r="G28" s="13"/>
      <c r="H28" s="11"/>
      <c r="I28" s="12"/>
      <c r="J28" s="14"/>
      <c r="K28" s="13"/>
      <c r="L28" s="11"/>
      <c r="M28" s="12"/>
      <c r="N28" s="14"/>
      <c r="O28" s="13"/>
      <c r="P28" s="11"/>
      <c r="Q28" s="12"/>
      <c r="R28" s="14"/>
      <c r="S28" s="15"/>
      <c r="T28" s="11"/>
      <c r="U28" s="12"/>
      <c r="V28" s="17"/>
      <c r="X28" s="1018">
        <f t="shared" si="3"/>
        <v>25</v>
      </c>
      <c r="Y28" s="1019" t="str">
        <f t="shared" si="0"/>
        <v>더베스트 김효제 경기AS</v>
      </c>
      <c r="AD28" s="1">
        <f>IF(AG28="","",COUNTIFS($AG$4:AG28,AG28))</f>
        <v>8</v>
      </c>
      <c r="AE28" s="1012" t="s">
        <v>238</v>
      </c>
      <c r="AF28" s="1015">
        <f t="shared" si="1"/>
        <v>0</v>
      </c>
      <c r="AG28" s="1">
        <f t="shared" si="2"/>
        <v>1</v>
      </c>
    </row>
    <row r="29" spans="2:33" ht="30.75" customHeight="1" thickBot="1" x14ac:dyDescent="0.35">
      <c r="B29" s="35" t="s">
        <v>31</v>
      </c>
      <c r="C29" s="2">
        <f>S21+3</f>
        <v>19</v>
      </c>
      <c r="D29" s="3" t="s">
        <v>499</v>
      </c>
      <c r="E29" s="3" t="s">
        <v>500</v>
      </c>
      <c r="F29" s="4" t="s">
        <v>501</v>
      </c>
      <c r="G29" s="5">
        <f>C29+1</f>
        <v>20</v>
      </c>
      <c r="H29" s="3" t="s">
        <v>499</v>
      </c>
      <c r="I29" s="3" t="s">
        <v>500</v>
      </c>
      <c r="J29" s="6" t="s">
        <v>501</v>
      </c>
      <c r="K29" s="5">
        <f>G29+1</f>
        <v>21</v>
      </c>
      <c r="L29" s="3" t="s">
        <v>499</v>
      </c>
      <c r="M29" s="3" t="s">
        <v>500</v>
      </c>
      <c r="N29" s="6" t="s">
        <v>501</v>
      </c>
      <c r="O29" s="5">
        <f>K29+1</f>
        <v>22</v>
      </c>
      <c r="P29" s="3">
        <v>7961</v>
      </c>
      <c r="Q29" s="3" t="s">
        <v>500</v>
      </c>
      <c r="R29" s="6" t="s">
        <v>501</v>
      </c>
      <c r="S29" s="5">
        <f>O29+1</f>
        <v>23</v>
      </c>
      <c r="T29" s="3" t="s">
        <v>499</v>
      </c>
      <c r="U29" s="3" t="s">
        <v>500</v>
      </c>
      <c r="V29" s="16" t="s">
        <v>501</v>
      </c>
      <c r="X29" s="1018">
        <f t="shared" si="3"/>
        <v>26</v>
      </c>
      <c r="Y29" s="1019" t="str">
        <f t="shared" si="0"/>
        <v>엠금융 프레시어스</v>
      </c>
      <c r="AD29" s="1">
        <f>IF(AG29="","",COUNTIFS($AG$4:AG29,AG29))</f>
        <v>9</v>
      </c>
      <c r="AE29" s="1012" t="s">
        <v>294</v>
      </c>
      <c r="AF29" s="1015">
        <f t="shared" si="1"/>
        <v>0</v>
      </c>
      <c r="AG29" s="1">
        <f t="shared" si="2"/>
        <v>1</v>
      </c>
    </row>
    <row r="30" spans="2:33" ht="30.75" customHeight="1" thickTop="1" x14ac:dyDescent="0.3">
      <c r="B30" s="1085" t="s">
        <v>9</v>
      </c>
      <c r="C30" s="36">
        <v>0.375</v>
      </c>
      <c r="D30" s="37" t="s">
        <v>143</v>
      </c>
      <c r="E30" s="38"/>
      <c r="F30" s="39"/>
      <c r="G30" s="40">
        <v>0.39583333333333331</v>
      </c>
      <c r="H30" s="37" t="s">
        <v>174</v>
      </c>
      <c r="I30" s="38"/>
      <c r="J30" s="41"/>
      <c r="K30" s="40">
        <v>0.39583333333333331</v>
      </c>
      <c r="L30" s="37" t="s">
        <v>213</v>
      </c>
      <c r="M30" s="38"/>
      <c r="N30" s="41"/>
      <c r="O30" s="882">
        <v>0.375</v>
      </c>
      <c r="P30" s="883" t="s">
        <v>491</v>
      </c>
      <c r="Q30" s="884"/>
      <c r="R30" s="885"/>
      <c r="S30" s="882">
        <v>0.375</v>
      </c>
      <c r="T30" s="883" t="s">
        <v>384</v>
      </c>
      <c r="U30" s="884"/>
      <c r="V30" s="886"/>
      <c r="X30" s="1018">
        <f t="shared" si="3"/>
        <v>27</v>
      </c>
      <c r="Y30" s="1019" t="str">
        <f t="shared" si="0"/>
        <v>엠금융 더클래스</v>
      </c>
      <c r="AD30" s="1">
        <f>IF(AG30="","",COUNTIFS($AG$4:AG30,AG30))</f>
        <v>10</v>
      </c>
      <c r="AE30" s="1012" t="s">
        <v>658</v>
      </c>
      <c r="AF30" s="1015">
        <f t="shared" si="1"/>
        <v>0</v>
      </c>
      <c r="AG30" s="1">
        <f t="shared" si="2"/>
        <v>1</v>
      </c>
    </row>
    <row r="31" spans="2:33" ht="30.75" customHeight="1" x14ac:dyDescent="0.3">
      <c r="B31" s="1085"/>
      <c r="C31" s="1035">
        <v>0.41666666666666669</v>
      </c>
      <c r="D31" s="1036" t="s">
        <v>707</v>
      </c>
      <c r="E31" s="46"/>
      <c r="F31" s="47"/>
      <c r="G31" s="50">
        <v>0.45833333333333331</v>
      </c>
      <c r="H31" s="45" t="s">
        <v>433</v>
      </c>
      <c r="I31" s="46"/>
      <c r="J31" s="49"/>
      <c r="K31" s="50">
        <v>0.64583333333333337</v>
      </c>
      <c r="L31" s="45" t="s">
        <v>725</v>
      </c>
      <c r="M31" s="46"/>
      <c r="N31" s="49"/>
      <c r="O31" s="906">
        <v>0.41666666666666669</v>
      </c>
      <c r="P31" s="888" t="s">
        <v>659</v>
      </c>
      <c r="Q31" s="889"/>
      <c r="R31" s="890"/>
      <c r="S31" s="1058">
        <v>0.39583333333333331</v>
      </c>
      <c r="T31" s="1055" t="s">
        <v>407</v>
      </c>
      <c r="U31" s="1056"/>
      <c r="V31" s="1057"/>
      <c r="X31" s="1018">
        <f t="shared" si="3"/>
        <v>28</v>
      </c>
      <c r="Y31" s="1019" t="str">
        <f t="shared" si="0"/>
        <v>KGA 오산</v>
      </c>
      <c r="AD31" s="1" t="str">
        <f>IF(AG31="","",COUNTIFS($AG$4:AG31,AG31))</f>
        <v/>
      </c>
      <c r="AE31" s="1014" t="s">
        <v>72</v>
      </c>
      <c r="AF31" s="1015">
        <f t="shared" si="1"/>
        <v>1</v>
      </c>
      <c r="AG31" s="1" t="str">
        <f t="shared" si="2"/>
        <v/>
      </c>
    </row>
    <row r="32" spans="2:33" ht="30.75" customHeight="1" x14ac:dyDescent="0.3">
      <c r="B32" s="1085"/>
      <c r="C32" s="53"/>
      <c r="D32" s="54"/>
      <c r="E32" s="55"/>
      <c r="F32" s="56"/>
      <c r="G32" s="605">
        <v>0.47916666666666669</v>
      </c>
      <c r="H32" s="54" t="s">
        <v>37</v>
      </c>
      <c r="I32" s="55"/>
      <c r="J32" s="58"/>
      <c r="K32" s="258"/>
      <c r="L32" s="54"/>
      <c r="M32" s="55"/>
      <c r="N32" s="58"/>
      <c r="O32" s="1073">
        <v>0.45833333333333331</v>
      </c>
      <c r="P32" s="1074" t="s">
        <v>729</v>
      </c>
      <c r="Q32" s="1075"/>
      <c r="R32" s="1076"/>
      <c r="S32" s="1063">
        <v>0.46527777777777779</v>
      </c>
      <c r="T32" s="893" t="s">
        <v>660</v>
      </c>
      <c r="U32" s="894"/>
      <c r="V32" s="896"/>
      <c r="X32" s="1018">
        <f t="shared" si="3"/>
        <v>29</v>
      </c>
      <c r="Y32" s="1019" t="str">
        <f t="shared" si="0"/>
        <v>KGA 엠디</v>
      </c>
      <c r="AD32" s="1" t="str">
        <f>IF(AG32="","",COUNTIFS($AG$4:AG32,AG32))</f>
        <v/>
      </c>
      <c r="AE32" s="1014" t="s">
        <v>452</v>
      </c>
      <c r="AF32" s="1015">
        <f t="shared" si="1"/>
        <v>1</v>
      </c>
      <c r="AG32" s="1" t="str">
        <f t="shared" si="2"/>
        <v/>
      </c>
    </row>
    <row r="33" spans="2:33" ht="42" customHeight="1" x14ac:dyDescent="0.3">
      <c r="B33" s="1086"/>
      <c r="C33" s="1108"/>
      <c r="D33" s="1103"/>
      <c r="E33" s="1103"/>
      <c r="F33" s="1109"/>
      <c r="G33" s="1102"/>
      <c r="H33" s="1103"/>
      <c r="I33" s="1103"/>
      <c r="J33" s="1109"/>
      <c r="K33" s="1306" t="s">
        <v>712</v>
      </c>
      <c r="L33" s="1307"/>
      <c r="M33" s="1307"/>
      <c r="N33" s="1308"/>
      <c r="O33" s="1309" t="s">
        <v>730</v>
      </c>
      <c r="P33" s="1310"/>
      <c r="Q33" s="1310"/>
      <c r="R33" s="1311"/>
      <c r="S33" s="1312"/>
      <c r="T33" s="1313"/>
      <c r="U33" s="1313"/>
      <c r="V33" s="1313"/>
      <c r="X33" s="1018">
        <f t="shared" si="3"/>
        <v>30</v>
      </c>
      <c r="Y33" s="1019" t="str">
        <f t="shared" si="0"/>
        <v>KGA 마스타인스 파주</v>
      </c>
      <c r="AD33" s="1" t="str">
        <f>IF(AG33="","",COUNTIFS($AG$4:AG33,AG33))</f>
        <v/>
      </c>
      <c r="AE33" s="1014" t="s">
        <v>659</v>
      </c>
      <c r="AF33" s="1015">
        <f t="shared" si="1"/>
        <v>2</v>
      </c>
      <c r="AG33" s="1" t="str">
        <f t="shared" si="2"/>
        <v/>
      </c>
    </row>
    <row r="34" spans="2:33" ht="30.75" customHeight="1" x14ac:dyDescent="0.3">
      <c r="B34" s="1079" t="s">
        <v>12</v>
      </c>
      <c r="C34" s="62">
        <v>0.39583333333333331</v>
      </c>
      <c r="D34" s="63" t="s">
        <v>321</v>
      </c>
      <c r="E34" s="64"/>
      <c r="F34" s="61"/>
      <c r="G34" s="65">
        <v>0.38541666666666669</v>
      </c>
      <c r="H34" s="63" t="s">
        <v>94</v>
      </c>
      <c r="I34" s="64"/>
      <c r="J34" s="66"/>
      <c r="K34" s="65">
        <v>0.39583333333333331</v>
      </c>
      <c r="L34" s="63" t="s">
        <v>637</v>
      </c>
      <c r="M34" s="64"/>
      <c r="N34" s="66"/>
      <c r="O34" s="65">
        <v>0.39583333333333331</v>
      </c>
      <c r="P34" s="63" t="s">
        <v>449</v>
      </c>
      <c r="Q34" s="64"/>
      <c r="R34" s="66"/>
      <c r="S34" s="1059"/>
      <c r="T34" s="1062" t="s">
        <v>721</v>
      </c>
      <c r="U34" s="1060"/>
      <c r="V34" s="1061"/>
      <c r="X34" s="1018">
        <f t="shared" si="3"/>
        <v>31</v>
      </c>
      <c r="Y34" s="1019" t="str">
        <f t="shared" si="0"/>
        <v>GAK 엠파이어평택</v>
      </c>
      <c r="AD34" s="1" t="str">
        <f>IF(AG34="","",COUNTIFS($AG$4:AG34,AG34))</f>
        <v/>
      </c>
      <c r="AE34" s="1014" t="s">
        <v>660</v>
      </c>
      <c r="AF34" s="1015">
        <f t="shared" si="1"/>
        <v>2</v>
      </c>
      <c r="AG34" s="1" t="str">
        <f t="shared" si="2"/>
        <v/>
      </c>
    </row>
    <row r="35" spans="2:33" ht="30.75" customHeight="1" x14ac:dyDescent="0.3">
      <c r="B35" s="1080"/>
      <c r="C35" s="69"/>
      <c r="D35" s="70"/>
      <c r="E35" s="71"/>
      <c r="F35" s="68"/>
      <c r="G35" s="72">
        <v>0.4375</v>
      </c>
      <c r="H35" s="70" t="s">
        <v>41</v>
      </c>
      <c r="I35" s="71"/>
      <c r="J35" s="73"/>
      <c r="K35" s="72"/>
      <c r="L35" s="70"/>
      <c r="M35" s="71"/>
      <c r="N35" s="73"/>
      <c r="O35" s="1046">
        <v>0.5625</v>
      </c>
      <c r="P35" s="1047" t="s">
        <v>714</v>
      </c>
      <c r="Q35" s="1048"/>
      <c r="R35" s="1049"/>
      <c r="S35" s="72"/>
      <c r="T35" s="70"/>
      <c r="U35" s="71"/>
      <c r="V35" s="74"/>
      <c r="X35" s="1018">
        <f t="shared" si="3"/>
        <v>32</v>
      </c>
      <c r="Y35" s="1019" t="str">
        <f t="shared" si="0"/>
        <v>GAK 다온드림투</v>
      </c>
      <c r="AD35" s="1" t="str">
        <f>IF(AG35="","",COUNTIFS($AG$4:AG35,AG35))</f>
        <v/>
      </c>
      <c r="AE35" s="1014" t="s">
        <v>433</v>
      </c>
      <c r="AF35" s="1015">
        <f t="shared" si="1"/>
        <v>1</v>
      </c>
      <c r="AG35" s="1" t="str">
        <f t="shared" si="2"/>
        <v/>
      </c>
    </row>
    <row r="36" spans="2:33" ht="30.75" customHeight="1" x14ac:dyDescent="0.3">
      <c r="B36" s="9" t="s">
        <v>13</v>
      </c>
      <c r="C36" s="10"/>
      <c r="D36" s="11"/>
      <c r="E36" s="12"/>
      <c r="F36" s="9"/>
      <c r="G36" s="13"/>
      <c r="H36" s="11"/>
      <c r="I36" s="12"/>
      <c r="J36" s="14"/>
      <c r="K36" s="13"/>
      <c r="L36" s="11"/>
      <c r="M36" s="12"/>
      <c r="N36" s="14"/>
      <c r="O36" s="897"/>
      <c r="P36" s="898"/>
      <c r="Q36" s="899"/>
      <c r="R36" s="900"/>
      <c r="S36" s="907"/>
      <c r="T36" s="898"/>
      <c r="U36" s="899"/>
      <c r="V36" s="901"/>
      <c r="X36" s="1018">
        <f t="shared" si="3"/>
        <v>33</v>
      </c>
      <c r="Y36" s="1019" t="str">
        <f t="shared" si="0"/>
        <v>GAK 다성재무</v>
      </c>
      <c r="AD36" s="1" t="str">
        <f>IF(AG36="","",COUNTIFS($AG$4:AG36,AG36))</f>
        <v/>
      </c>
      <c r="AE36" s="1012" t="s">
        <v>491</v>
      </c>
      <c r="AF36" s="1015">
        <f t="shared" si="1"/>
        <v>1</v>
      </c>
      <c r="AG36" s="1" t="str">
        <f t="shared" si="2"/>
        <v/>
      </c>
    </row>
    <row r="37" spans="2:33" ht="30.75" customHeight="1" thickBot="1" x14ac:dyDescent="0.35">
      <c r="B37" s="35" t="s">
        <v>32</v>
      </c>
      <c r="C37" s="2">
        <f>S29+3</f>
        <v>26</v>
      </c>
      <c r="D37" s="3" t="s">
        <v>499</v>
      </c>
      <c r="E37" s="3" t="s">
        <v>500</v>
      </c>
      <c r="F37" s="4" t="s">
        <v>501</v>
      </c>
      <c r="G37" s="5">
        <f>C37+1</f>
        <v>27</v>
      </c>
      <c r="H37" s="3" t="s">
        <v>499</v>
      </c>
      <c r="I37" s="3" t="s">
        <v>500</v>
      </c>
      <c r="J37" s="6" t="s">
        <v>501</v>
      </c>
      <c r="K37" s="5">
        <f>G37+1</f>
        <v>28</v>
      </c>
      <c r="L37" s="3" t="s">
        <v>499</v>
      </c>
      <c r="M37" s="3" t="s">
        <v>500</v>
      </c>
      <c r="N37" s="6" t="s">
        <v>501</v>
      </c>
      <c r="O37" s="902">
        <f>K37+1</f>
        <v>29</v>
      </c>
      <c r="P37" s="903" t="s">
        <v>499</v>
      </c>
      <c r="Q37" s="903" t="s">
        <v>500</v>
      </c>
      <c r="R37" s="904" t="s">
        <v>501</v>
      </c>
      <c r="S37" s="902">
        <f>O37+1</f>
        <v>30</v>
      </c>
      <c r="T37" s="903" t="s">
        <v>499</v>
      </c>
      <c r="U37" s="903" t="s">
        <v>500</v>
      </c>
      <c r="V37" s="905" t="s">
        <v>501</v>
      </c>
      <c r="X37" s="1018">
        <f t="shared" si="3"/>
        <v>34</v>
      </c>
      <c r="Y37" s="1019" t="str">
        <f t="shared" si="0"/>
        <v>GAK 해피오산세교</v>
      </c>
      <c r="AD37" s="1">
        <f>IF(AG37="","",COUNTIFS($AG$4:AG37,AG37))</f>
        <v>11</v>
      </c>
      <c r="AE37" s="1012" t="s">
        <v>638</v>
      </c>
      <c r="AF37" s="1015">
        <f t="shared" si="1"/>
        <v>0</v>
      </c>
      <c r="AG37" s="1">
        <f t="shared" si="2"/>
        <v>1</v>
      </c>
    </row>
    <row r="38" spans="2:33" ht="30.75" customHeight="1" thickTop="1" x14ac:dyDescent="0.3">
      <c r="B38" s="1085" t="s">
        <v>9</v>
      </c>
      <c r="C38" s="36">
        <v>0.375</v>
      </c>
      <c r="D38" s="37" t="s">
        <v>82</v>
      </c>
      <c r="E38" s="38"/>
      <c r="F38" s="39"/>
      <c r="G38" s="40">
        <v>0.41666666666666669</v>
      </c>
      <c r="H38" s="37" t="s">
        <v>458</v>
      </c>
      <c r="I38" s="38"/>
      <c r="J38" s="41"/>
      <c r="K38" s="40"/>
      <c r="L38" s="37"/>
      <c r="M38" s="38"/>
      <c r="N38" s="41"/>
      <c r="O38" s="882">
        <v>0.375</v>
      </c>
      <c r="P38" s="883" t="s">
        <v>284</v>
      </c>
      <c r="Q38" s="884"/>
      <c r="R38" s="885"/>
      <c r="S38" s="882"/>
      <c r="T38" s="883"/>
      <c r="U38" s="884"/>
      <c r="V38" s="886"/>
      <c r="X38" s="1018">
        <f t="shared" si="3"/>
        <v>35</v>
      </c>
      <c r="Y38" s="1019" t="str">
        <f t="shared" si="0"/>
        <v>GAK 엠파이어라이프엣지</v>
      </c>
      <c r="AD38" s="1" t="str">
        <f>IF(AG38="","",COUNTIFS($AG$4:AG38,AG38))</f>
        <v/>
      </c>
      <c r="AE38" s="1012" t="s">
        <v>637</v>
      </c>
      <c r="AF38" s="1015">
        <f t="shared" si="1"/>
        <v>1</v>
      </c>
      <c r="AG38" s="1" t="str">
        <f t="shared" si="2"/>
        <v/>
      </c>
    </row>
    <row r="39" spans="2:33" ht="30.75" customHeight="1" x14ac:dyDescent="0.3">
      <c r="B39" s="1085"/>
      <c r="C39" s="240">
        <v>0.46527777777777779</v>
      </c>
      <c r="D39" s="45" t="s">
        <v>728</v>
      </c>
      <c r="E39" s="46"/>
      <c r="F39" s="47"/>
      <c r="G39" s="48"/>
      <c r="H39" s="45"/>
      <c r="I39" s="46"/>
      <c r="J39" s="49"/>
      <c r="K39" s="48"/>
      <c r="L39" s="45"/>
      <c r="M39" s="46"/>
      <c r="N39" s="49"/>
      <c r="O39" s="887"/>
      <c r="P39" s="888"/>
      <c r="Q39" s="889"/>
      <c r="R39" s="890"/>
      <c r="S39" s="887"/>
      <c r="T39" s="888"/>
      <c r="U39" s="889"/>
      <c r="V39" s="891"/>
      <c r="X39" s="1018">
        <f t="shared" si="3"/>
        <v>36</v>
      </c>
      <c r="Y39" s="1019" t="str">
        <f t="shared" si="0"/>
        <v>GAK 에셋마스터싼타티씨</v>
      </c>
      <c r="AD39" s="1" t="str">
        <f>IF(AG39="","",COUNTIFS($AG$4:AG39,AG39))</f>
        <v/>
      </c>
      <c r="AE39" s="1012" t="s">
        <v>41</v>
      </c>
      <c r="AF39" s="1015">
        <f t="shared" si="1"/>
        <v>1</v>
      </c>
      <c r="AG39" s="1" t="str">
        <f t="shared" si="2"/>
        <v/>
      </c>
    </row>
    <row r="40" spans="2:33" ht="30.75" customHeight="1" x14ac:dyDescent="0.3">
      <c r="B40" s="1085"/>
      <c r="C40" s="1050"/>
      <c r="D40" s="1053" t="s">
        <v>719</v>
      </c>
      <c r="E40" s="1051"/>
      <c r="F40" s="1052"/>
      <c r="G40" s="57"/>
      <c r="H40" s="54"/>
      <c r="I40" s="55"/>
      <c r="J40" s="58"/>
      <c r="K40" s="1050"/>
      <c r="L40" s="1053" t="s">
        <v>720</v>
      </c>
      <c r="M40" s="1051"/>
      <c r="N40" s="1052"/>
      <c r="O40" s="892"/>
      <c r="P40" s="893"/>
      <c r="Q40" s="894"/>
      <c r="R40" s="895"/>
      <c r="S40" s="892"/>
      <c r="T40" s="893"/>
      <c r="U40" s="894"/>
      <c r="V40" s="896"/>
      <c r="X40" s="1018">
        <f t="shared" si="3"/>
        <v>37</v>
      </c>
      <c r="Y40" s="1019" t="str">
        <f t="shared" si="0"/>
        <v>GAK 에셋마스터마스타인스</v>
      </c>
      <c r="AD40" s="1">
        <f>IF(AG40="","",COUNTIFS($AG$4:AG40,AG40))</f>
        <v>12</v>
      </c>
      <c r="AE40" s="1012" t="s">
        <v>662</v>
      </c>
      <c r="AF40" s="1015">
        <f t="shared" si="1"/>
        <v>0</v>
      </c>
      <c r="AG40" s="1">
        <f t="shared" si="2"/>
        <v>1</v>
      </c>
    </row>
    <row r="41" spans="2:33" ht="42" customHeight="1" x14ac:dyDescent="0.3">
      <c r="B41" s="1086"/>
      <c r="C41" s="1108"/>
      <c r="D41" s="1103"/>
      <c r="E41" s="1103"/>
      <c r="F41" s="1109"/>
      <c r="G41" s="1303" t="s">
        <v>732</v>
      </c>
      <c r="H41" s="1304"/>
      <c r="I41" s="1304"/>
      <c r="J41" s="1305"/>
      <c r="K41" s="1102"/>
      <c r="L41" s="1103"/>
      <c r="M41" s="1103"/>
      <c r="N41" s="1109"/>
      <c r="O41" s="1276" t="s">
        <v>685</v>
      </c>
      <c r="P41" s="1277"/>
      <c r="Q41" s="1277"/>
      <c r="R41" s="1278"/>
      <c r="S41" s="1276" t="s">
        <v>696</v>
      </c>
      <c r="T41" s="1277"/>
      <c r="U41" s="1277"/>
      <c r="V41" s="1277"/>
      <c r="X41" s="1018">
        <f t="shared" si="3"/>
        <v>38</v>
      </c>
      <c r="Y41" s="1019" t="str">
        <f t="shared" si="0"/>
        <v>GAK 새파랑다옴</v>
      </c>
      <c r="AD41" s="1" t="str">
        <f>IF(AG41="","",COUNTIFS($AG$4:AG41,AG41))</f>
        <v/>
      </c>
      <c r="AE41" s="1012" t="s">
        <v>94</v>
      </c>
      <c r="AF41" s="1015">
        <f t="shared" si="1"/>
        <v>1</v>
      </c>
      <c r="AG41" s="1" t="str">
        <f t="shared" si="2"/>
        <v/>
      </c>
    </row>
    <row r="42" spans="2:33" ht="30.75" customHeight="1" x14ac:dyDescent="0.3">
      <c r="B42" s="1079" t="s">
        <v>12</v>
      </c>
      <c r="C42" s="62">
        <v>0.41666666666666669</v>
      </c>
      <c r="D42" s="63" t="s">
        <v>82</v>
      </c>
      <c r="E42" s="64"/>
      <c r="F42" s="61"/>
      <c r="G42" s="65"/>
      <c r="H42" s="63"/>
      <c r="I42" s="64"/>
      <c r="J42" s="66"/>
      <c r="K42" s="65"/>
      <c r="L42" s="63"/>
      <c r="M42" s="64"/>
      <c r="N42" s="66"/>
      <c r="O42" s="65"/>
      <c r="P42" s="63"/>
      <c r="Q42" s="64"/>
      <c r="R42" s="66"/>
      <c r="S42" s="65"/>
      <c r="T42" s="63"/>
      <c r="U42" s="64"/>
      <c r="V42" s="67"/>
      <c r="X42" s="1018">
        <f t="shared" si="3"/>
        <v>39</v>
      </c>
      <c r="Y42" s="1019" t="str">
        <f t="shared" si="0"/>
        <v>GAK 케이라이프</v>
      </c>
      <c r="AD42" s="1" t="str">
        <f>IF(AG42="","",COUNTIFS($AG$4:AG42,AG42))</f>
        <v/>
      </c>
      <c r="AE42" s="1012" t="s">
        <v>170</v>
      </c>
      <c r="AF42" s="1015">
        <f t="shared" si="1"/>
        <v>1</v>
      </c>
      <c r="AG42" s="1" t="str">
        <f t="shared" si="2"/>
        <v/>
      </c>
    </row>
    <row r="43" spans="2:33" ht="30.75" customHeight="1" x14ac:dyDescent="0.3">
      <c r="B43" s="1080"/>
      <c r="C43" s="69"/>
      <c r="D43" s="70"/>
      <c r="E43" s="71"/>
      <c r="F43" s="68"/>
      <c r="G43" s="72"/>
      <c r="H43" s="70"/>
      <c r="I43" s="71"/>
      <c r="J43" s="73"/>
      <c r="K43" s="72"/>
      <c r="L43" s="70"/>
      <c r="M43" s="71"/>
      <c r="N43" s="73"/>
      <c r="O43" s="72"/>
      <c r="P43" s="70"/>
      <c r="Q43" s="71"/>
      <c r="R43" s="73"/>
      <c r="S43" s="72"/>
      <c r="T43" s="70"/>
      <c r="U43" s="71"/>
      <c r="V43" s="74"/>
      <c r="X43" s="1018">
        <f t="shared" si="3"/>
        <v>40</v>
      </c>
      <c r="Y43" s="1019" t="str">
        <f t="shared" si="0"/>
        <v>유퍼스트 오산</v>
      </c>
      <c r="AD43" s="1" t="str">
        <f>IF(AG43="","",COUNTIFS($AG$4:AG43,AG43))</f>
        <v/>
      </c>
      <c r="AE43" s="1012" t="s">
        <v>456</v>
      </c>
      <c r="AF43" s="1015">
        <f t="shared" si="1"/>
        <v>1</v>
      </c>
      <c r="AG43" s="1" t="str">
        <f t="shared" si="2"/>
        <v/>
      </c>
    </row>
    <row r="44" spans="2:33" ht="30.75" customHeight="1" x14ac:dyDescent="0.3">
      <c r="B44" s="9" t="s">
        <v>13</v>
      </c>
      <c r="C44" s="10"/>
      <c r="D44" s="11"/>
      <c r="E44" s="12"/>
      <c r="F44" s="9"/>
      <c r="G44" s="13"/>
      <c r="H44" s="11"/>
      <c r="I44" s="12"/>
      <c r="J44" s="14"/>
      <c r="K44" s="13"/>
      <c r="L44" s="11"/>
      <c r="M44" s="12"/>
      <c r="N44" s="14"/>
      <c r="O44" s="897"/>
      <c r="P44" s="898"/>
      <c r="Q44" s="899"/>
      <c r="R44" s="900"/>
      <c r="S44" s="897"/>
      <c r="T44" s="898"/>
      <c r="U44" s="899"/>
      <c r="V44" s="901"/>
      <c r="X44" s="1018">
        <f t="shared" si="3"/>
        <v>41</v>
      </c>
      <c r="Y44" s="1019" t="str">
        <f t="shared" si="0"/>
        <v>엑셀금융서비스(주) 평택사업단</v>
      </c>
      <c r="AD44" s="1" t="str">
        <f>IF(AG44="","",COUNTIFS($AG$4:AG44,AG44))</f>
        <v/>
      </c>
      <c r="AE44" s="1012" t="s">
        <v>106</v>
      </c>
      <c r="AF44" s="1015">
        <f t="shared" si="1"/>
        <v>1</v>
      </c>
      <c r="AG44" s="1" t="str">
        <f t="shared" si="2"/>
        <v/>
      </c>
    </row>
    <row r="45" spans="2:33" ht="30.75" customHeight="1" x14ac:dyDescent="0.3">
      <c r="X45" s="1018">
        <f t="shared" si="3"/>
        <v>42</v>
      </c>
      <c r="Y45" s="1019" t="str">
        <f t="shared" si="0"/>
        <v>엑셀금융서비스(주) 안성사업단</v>
      </c>
      <c r="AD45" s="1" t="str">
        <f>IF(AG45="","",COUNTIFS($AG$4:AG45,AG45))</f>
        <v/>
      </c>
      <c r="AE45" s="1016" t="s">
        <v>455</v>
      </c>
      <c r="AF45" s="1015">
        <f t="shared" si="1"/>
        <v>1</v>
      </c>
      <c r="AG45" s="1" t="str">
        <f t="shared" si="2"/>
        <v/>
      </c>
    </row>
    <row r="46" spans="2:33" ht="30.75" customHeight="1" x14ac:dyDescent="0.3">
      <c r="X46" s="1018">
        <f t="shared" si="3"/>
        <v>43</v>
      </c>
      <c r="Y46" s="1019" t="str">
        <f t="shared" si="0"/>
        <v>엑셀금융서비스(주) 수원사업단</v>
      </c>
      <c r="AD46" s="1">
        <f>IF(AG46="","",COUNTIFS($AG$4:AG46,AG46))</f>
        <v>13</v>
      </c>
      <c r="AE46" s="1016" t="s">
        <v>268</v>
      </c>
      <c r="AF46" s="1015">
        <f t="shared" si="1"/>
        <v>0</v>
      </c>
      <c r="AG46" s="1">
        <f t="shared" si="2"/>
        <v>1</v>
      </c>
    </row>
    <row r="47" spans="2:33" ht="30.75" customHeight="1" x14ac:dyDescent="0.3">
      <c r="X47" s="1018">
        <f t="shared" si="3"/>
        <v>44</v>
      </c>
      <c r="Y47" s="1019" t="str">
        <f t="shared" si="0"/>
        <v>에스앤에스보험대리점</v>
      </c>
      <c r="AD47" s="1">
        <f>IF(AG47="","",COUNTIFS($AG$4:AG47,AG47))</f>
        <v>14</v>
      </c>
      <c r="AE47" s="1016" t="s">
        <v>34</v>
      </c>
      <c r="AF47" s="1015">
        <f t="shared" si="1"/>
        <v>0</v>
      </c>
      <c r="AG47" s="1">
        <f t="shared" si="2"/>
        <v>1</v>
      </c>
    </row>
    <row r="48" spans="2:33" ht="30.75" customHeight="1" x14ac:dyDescent="0.3">
      <c r="X48" s="1018">
        <f t="shared" si="3"/>
        <v>45</v>
      </c>
      <c r="Y48" s="1019" t="str">
        <f t="shared" si="0"/>
        <v>신금플 한길</v>
      </c>
      <c r="AD48" s="1" t="str">
        <f>IF(AG48="","",COUNTIFS($AG$4:AG48,AG48))</f>
        <v/>
      </c>
      <c r="AE48" s="1016" t="s">
        <v>46</v>
      </c>
      <c r="AF48" s="1015">
        <f t="shared" si="1"/>
        <v>2</v>
      </c>
      <c r="AG48" s="1" t="str">
        <f t="shared" si="2"/>
        <v/>
      </c>
    </row>
    <row r="49" spans="24:33" ht="30.75" customHeight="1" x14ac:dyDescent="0.3">
      <c r="X49" s="1018">
        <f t="shared" si="3"/>
        <v>46</v>
      </c>
      <c r="Y49" s="1019" t="str">
        <f t="shared" si="0"/>
        <v>미래에셋 히어로</v>
      </c>
      <c r="AD49" s="1">
        <f>IF(AG49="","",COUNTIFS($AG$4:AG49,AG49))</f>
        <v>15</v>
      </c>
      <c r="AE49" s="1016" t="s">
        <v>89</v>
      </c>
      <c r="AF49" s="1015">
        <f t="shared" si="1"/>
        <v>0</v>
      </c>
      <c r="AG49" s="1">
        <f t="shared" si="2"/>
        <v>1</v>
      </c>
    </row>
    <row r="50" spans="24:33" ht="30.75" customHeight="1" x14ac:dyDescent="0.3">
      <c r="X50" s="1018">
        <f t="shared" si="3"/>
        <v>47</v>
      </c>
      <c r="Y50" s="1019" t="str">
        <f t="shared" si="0"/>
        <v>더베스트 제우스경기법인</v>
      </c>
      <c r="AD50" s="1">
        <f>IF(AG50="","",COUNTIFS($AG$4:AG50,AG50))</f>
        <v>16</v>
      </c>
      <c r="AE50" s="1016" t="s">
        <v>663</v>
      </c>
      <c r="AF50" s="1015">
        <f t="shared" si="1"/>
        <v>0</v>
      </c>
      <c r="AG50" s="1">
        <f t="shared" si="2"/>
        <v>1</v>
      </c>
    </row>
    <row r="51" spans="24:33" ht="30.75" customHeight="1" x14ac:dyDescent="0.3">
      <c r="X51" s="1018">
        <f t="shared" si="3"/>
        <v>48</v>
      </c>
      <c r="Y51" s="1019" t="str">
        <f t="shared" si="0"/>
        <v>더베스트 위드탑</v>
      </c>
      <c r="AD51" s="1" t="str">
        <f>IF(AG51="","",COUNTIFS($AG$4:AG51,AG51))</f>
        <v/>
      </c>
      <c r="AE51" s="1016" t="s">
        <v>630</v>
      </c>
      <c r="AF51" s="1015">
        <f t="shared" si="1"/>
        <v>1</v>
      </c>
      <c r="AG51" s="1" t="str">
        <f t="shared" si="2"/>
        <v/>
      </c>
    </row>
    <row r="52" spans="24:33" ht="30.75" customHeight="1" x14ac:dyDescent="0.3">
      <c r="X52" s="1018">
        <f t="shared" si="3"/>
        <v>49</v>
      </c>
      <c r="Y52" s="1019" t="str">
        <f t="shared" si="0"/>
        <v>더베스트 아람</v>
      </c>
      <c r="AD52" s="1">
        <f>IF(AG52="","",COUNTIFS($AG$4:AG52,AG52))</f>
        <v>17</v>
      </c>
      <c r="AE52" s="1012" t="s">
        <v>673</v>
      </c>
      <c r="AF52" s="1015">
        <f t="shared" si="1"/>
        <v>0</v>
      </c>
      <c r="AG52" s="1">
        <f t="shared" si="2"/>
        <v>1</v>
      </c>
    </row>
    <row r="53" spans="24:33" ht="30.75" customHeight="1" x14ac:dyDescent="0.3">
      <c r="X53" s="1018">
        <f t="shared" si="3"/>
        <v>50</v>
      </c>
      <c r="Y53" s="1019" t="str">
        <f t="shared" si="0"/>
        <v>더블유에셋 오산</v>
      </c>
      <c r="AD53" s="1">
        <f>IF(AG53="","",COUNTIFS($AG$4:AG53,AG53))</f>
        <v>18</v>
      </c>
      <c r="AE53" s="1012" t="s">
        <v>173</v>
      </c>
      <c r="AF53" s="1015">
        <f t="shared" si="1"/>
        <v>0</v>
      </c>
      <c r="AG53" s="1">
        <f t="shared" si="2"/>
        <v>1</v>
      </c>
    </row>
    <row r="54" spans="24:33" ht="30.75" customHeight="1" x14ac:dyDescent="0.3">
      <c r="X54" s="1018">
        <f t="shared" si="3"/>
        <v>51</v>
      </c>
      <c r="Y54" s="1019" t="str">
        <f t="shared" si="0"/>
        <v>더좋은 화성</v>
      </c>
      <c r="AD54" s="1" t="str">
        <f>IF(AG54="","",COUNTIFS($AG$4:AG54,AG54))</f>
        <v/>
      </c>
      <c r="AE54" s="1012" t="s">
        <v>641</v>
      </c>
      <c r="AF54" s="1015">
        <f t="shared" si="1"/>
        <v>1</v>
      </c>
      <c r="AG54" s="1" t="str">
        <f t="shared" si="2"/>
        <v/>
      </c>
    </row>
    <row r="55" spans="24:33" ht="30.75" customHeight="1" x14ac:dyDescent="0.3">
      <c r="X55" s="1018">
        <f t="shared" si="3"/>
        <v>52</v>
      </c>
      <c r="Y55" s="1019" t="str">
        <f t="shared" si="0"/>
        <v>엠금융 코리안인슈</v>
      </c>
      <c r="AB55" s="1015"/>
      <c r="AC55" s="1015"/>
      <c r="AD55" s="1">
        <f>IF(AG55="","",COUNTIFS($AG$4:AG55,AG55))</f>
        <v>19</v>
      </c>
      <c r="AE55" s="1012" t="s">
        <v>651</v>
      </c>
      <c r="AF55" s="1015">
        <f t="shared" si="1"/>
        <v>0</v>
      </c>
      <c r="AG55" s="1">
        <f t="shared" si="2"/>
        <v>1</v>
      </c>
    </row>
    <row r="56" spans="24:33" ht="30.75" customHeight="1" x14ac:dyDescent="0.3">
      <c r="X56" s="1018">
        <f t="shared" si="3"/>
        <v>53</v>
      </c>
      <c r="Y56" s="1019" t="str">
        <f t="shared" si="0"/>
        <v>엠금융 인슈프라임</v>
      </c>
      <c r="AB56" s="1015"/>
      <c r="AC56" s="1015"/>
      <c r="AD56" s="1">
        <f>IF(AG56="","",COUNTIFS($AG$4:AG56,AG56))</f>
        <v>20</v>
      </c>
      <c r="AE56" s="1012" t="s">
        <v>649</v>
      </c>
      <c r="AF56" s="1015">
        <f t="shared" si="1"/>
        <v>0</v>
      </c>
      <c r="AG56" s="1">
        <f t="shared" si="2"/>
        <v>1</v>
      </c>
    </row>
    <row r="57" spans="24:33" ht="30.75" customHeight="1" x14ac:dyDescent="0.3">
      <c r="X57" s="1018">
        <f t="shared" si="3"/>
        <v>54</v>
      </c>
      <c r="Y57" s="1019" t="str">
        <f t="shared" si="0"/>
        <v>엠금융 보험플러스</v>
      </c>
      <c r="AB57" s="1015"/>
      <c r="AC57" s="1015"/>
      <c r="AD57" s="1" t="str">
        <f>IF(AG57="","",COUNTIFS($AG$4:AG57,AG57))</f>
        <v/>
      </c>
      <c r="AE57" s="1012" t="s">
        <v>626</v>
      </c>
      <c r="AF57" s="1015">
        <f t="shared" si="1"/>
        <v>1</v>
      </c>
      <c r="AG57" s="1" t="str">
        <f t="shared" si="2"/>
        <v/>
      </c>
    </row>
    <row r="58" spans="24:33" ht="30.75" customHeight="1" x14ac:dyDescent="0.3">
      <c r="X58" s="1018">
        <f t="shared" si="3"/>
        <v>55</v>
      </c>
      <c r="Y58" s="1019" t="str">
        <f t="shared" si="0"/>
        <v>글로벌 베스트평택</v>
      </c>
      <c r="AB58" s="1015"/>
      <c r="AC58" s="1015"/>
      <c r="AD58" s="1" t="str">
        <f>IF(AG58="","",COUNTIFS($AG$4:AG58,AG58))</f>
        <v/>
      </c>
      <c r="AE58" s="1012" t="s">
        <v>229</v>
      </c>
      <c r="AF58" s="1015">
        <f t="shared" si="1"/>
        <v>1</v>
      </c>
      <c r="AG58" s="1" t="str">
        <f t="shared" si="2"/>
        <v/>
      </c>
    </row>
    <row r="59" spans="24:33" ht="30.75" customHeight="1" x14ac:dyDescent="0.3">
      <c r="X59" s="1018">
        <f t="shared" si="3"/>
        <v>56</v>
      </c>
      <c r="Y59" s="1019" t="str">
        <f t="shared" si="0"/>
        <v>글로벌 대한라이프평택</v>
      </c>
      <c r="AB59" s="1015"/>
      <c r="AC59" s="1015"/>
      <c r="AD59" s="1" t="str">
        <f>IF(AG59="","",COUNTIFS($AG$4:AG59,AG59))</f>
        <v/>
      </c>
      <c r="AE59" s="1012" t="s">
        <v>642</v>
      </c>
      <c r="AF59" s="1015">
        <f t="shared" si="1"/>
        <v>1</v>
      </c>
      <c r="AG59" s="1" t="str">
        <f t="shared" si="2"/>
        <v/>
      </c>
    </row>
    <row r="60" spans="24:33" ht="30.75" customHeight="1" x14ac:dyDescent="0.3">
      <c r="X60" s="1018">
        <f t="shared" si="3"/>
        <v>57</v>
      </c>
      <c r="Y60" s="1019" t="str">
        <f t="shared" si="0"/>
        <v>삼성화재 브라보</v>
      </c>
      <c r="AB60" s="1015"/>
      <c r="AC60" s="1015"/>
      <c r="AD60" s="1" t="str">
        <f>IF(AG60="","",COUNTIFS($AG$4:AG60,AG60))</f>
        <v/>
      </c>
      <c r="AE60" s="1012" t="s">
        <v>640</v>
      </c>
      <c r="AF60" s="1015">
        <f t="shared" si="1"/>
        <v>1</v>
      </c>
      <c r="AG60" s="1" t="str">
        <f t="shared" si="2"/>
        <v/>
      </c>
    </row>
    <row r="61" spans="24:33" ht="30.75" customHeight="1" x14ac:dyDescent="0.3">
      <c r="X61" s="1018">
        <f t="shared" si="3"/>
        <v>58</v>
      </c>
      <c r="Y61" s="1019" t="str">
        <f t="shared" si="0"/>
        <v>삼성화재 보장연구소</v>
      </c>
      <c r="AB61" s="1015"/>
      <c r="AC61" s="1015"/>
      <c r="AD61" s="1" t="str">
        <f>IF(AG61="","",COUNTIFS($AG$4:AG61,AG61))</f>
        <v/>
      </c>
      <c r="AE61" s="1012" t="s">
        <v>645</v>
      </c>
      <c r="AF61" s="1015">
        <f t="shared" si="1"/>
        <v>1</v>
      </c>
      <c r="AG61" s="1" t="str">
        <f t="shared" si="2"/>
        <v/>
      </c>
    </row>
    <row r="62" spans="24:33" ht="30.75" customHeight="1" x14ac:dyDescent="0.3">
      <c r="X62" s="1018">
        <f t="shared" si="3"/>
        <v>59</v>
      </c>
      <c r="Y62" s="1019" t="str">
        <f t="shared" si="0"/>
        <v>엑셀금융서비스(주) 동탄사업단</v>
      </c>
      <c r="AB62" s="1015"/>
      <c r="AC62" s="1015"/>
      <c r="AD62" s="1" t="str">
        <f>IF(AG62="","",COUNTIFS($AG$4:AG62,AG62))</f>
        <v/>
      </c>
      <c r="AE62" s="1012" t="s">
        <v>175</v>
      </c>
      <c r="AF62" s="1015">
        <f t="shared" si="1"/>
        <v>1</v>
      </c>
      <c r="AG62" s="1" t="str">
        <f t="shared" si="2"/>
        <v/>
      </c>
    </row>
    <row r="63" spans="24:33" ht="30.75" customHeight="1" x14ac:dyDescent="0.3">
      <c r="X63" s="1018">
        <f t="shared" si="3"/>
        <v>60</v>
      </c>
      <c r="Y63" s="1019" t="e">
        <f t="shared" si="0"/>
        <v>#N/A</v>
      </c>
      <c r="AB63" s="1015"/>
      <c r="AC63" s="1015"/>
      <c r="AD63" s="1">
        <f>IF(AG63="","",COUNTIFS($AG$4:AG63,AG63))</f>
        <v>21</v>
      </c>
      <c r="AE63" s="1012" t="s">
        <v>648</v>
      </c>
      <c r="AF63" s="1015">
        <f t="shared" si="1"/>
        <v>0</v>
      </c>
      <c r="AG63" s="1">
        <f t="shared" si="2"/>
        <v>1</v>
      </c>
    </row>
    <row r="64" spans="24:33" ht="30.75" customHeight="1" x14ac:dyDescent="0.3">
      <c r="X64" s="1018">
        <f t="shared" si="3"/>
        <v>61</v>
      </c>
      <c r="Y64" s="1019" t="e">
        <f t="shared" si="0"/>
        <v>#N/A</v>
      </c>
      <c r="AB64" s="1015"/>
      <c r="AC64" s="1015"/>
      <c r="AD64" s="1">
        <f>IF(AG64="","",COUNTIFS($AG$4:AG64,AG64))</f>
        <v>22</v>
      </c>
      <c r="AE64" s="1012" t="s">
        <v>185</v>
      </c>
      <c r="AF64" s="1015">
        <f t="shared" si="1"/>
        <v>0</v>
      </c>
      <c r="AG64" s="1">
        <f t="shared" si="2"/>
        <v>1</v>
      </c>
    </row>
    <row r="65" spans="24:33" ht="30.75" customHeight="1" x14ac:dyDescent="0.3">
      <c r="X65" s="1018">
        <f t="shared" si="3"/>
        <v>62</v>
      </c>
      <c r="Y65" s="1019" t="e">
        <f t="shared" si="0"/>
        <v>#N/A</v>
      </c>
      <c r="AB65" s="1015"/>
      <c r="AC65" s="1015"/>
      <c r="AD65" s="1">
        <f>IF(AG65="","",COUNTIFS($AG$4:AG65,AG65))</f>
        <v>23</v>
      </c>
      <c r="AE65" s="1012" t="s">
        <v>650</v>
      </c>
      <c r="AF65" s="1015">
        <f t="shared" si="1"/>
        <v>0</v>
      </c>
      <c r="AG65" s="1">
        <f t="shared" si="2"/>
        <v>1</v>
      </c>
    </row>
    <row r="66" spans="24:33" ht="30.75" customHeight="1" x14ac:dyDescent="0.3">
      <c r="X66" s="1018">
        <f t="shared" si="3"/>
        <v>63</v>
      </c>
      <c r="Y66" s="1019" t="e">
        <f t="shared" si="0"/>
        <v>#N/A</v>
      </c>
      <c r="AB66" s="1015"/>
      <c r="AC66" s="1015"/>
      <c r="AD66" s="1">
        <f>IF(AG66="","",COUNTIFS($AG$4:AG66,AG66))</f>
        <v>24</v>
      </c>
      <c r="AE66" s="1012" t="s">
        <v>643</v>
      </c>
      <c r="AF66" s="1015">
        <f t="shared" si="1"/>
        <v>0</v>
      </c>
      <c r="AG66" s="1">
        <f t="shared" si="2"/>
        <v>1</v>
      </c>
    </row>
    <row r="67" spans="24:33" ht="30.75" customHeight="1" x14ac:dyDescent="0.3">
      <c r="X67" s="1018">
        <f t="shared" si="3"/>
        <v>64</v>
      </c>
      <c r="Y67" s="1019" t="e">
        <f t="shared" si="0"/>
        <v>#N/A</v>
      </c>
      <c r="AB67" s="1015"/>
      <c r="AC67" s="1015"/>
      <c r="AD67" s="1">
        <f>IF(AG67="","",COUNTIFS($AG$4:AG67,AG67))</f>
        <v>25</v>
      </c>
      <c r="AE67" s="1012" t="s">
        <v>644</v>
      </c>
      <c r="AF67" s="1015">
        <f t="shared" si="1"/>
        <v>0</v>
      </c>
      <c r="AG67" s="1">
        <f t="shared" si="2"/>
        <v>1</v>
      </c>
    </row>
    <row r="68" spans="24:33" ht="30.75" customHeight="1" x14ac:dyDescent="0.3">
      <c r="X68" s="1018">
        <f t="shared" si="3"/>
        <v>65</v>
      </c>
      <c r="Y68" s="1019" t="e">
        <f t="shared" ref="Y68:Y110" si="4">VLOOKUP(X68,$AD$4:$AE$111,2,FALSE)</f>
        <v>#N/A</v>
      </c>
      <c r="AB68" s="1015"/>
      <c r="AC68" s="1015"/>
      <c r="AD68" s="1">
        <f>IF(AG68="","",COUNTIFS($AG$4:AG68,AG68))</f>
        <v>26</v>
      </c>
      <c r="AE68" s="1012" t="s">
        <v>671</v>
      </c>
      <c r="AF68" s="1015">
        <f t="shared" ref="AF68:AF109" si="5">COUNTIFS($B$3:$V$46,AE68)</f>
        <v>0</v>
      </c>
      <c r="AG68" s="1">
        <f t="shared" si="2"/>
        <v>1</v>
      </c>
    </row>
    <row r="69" spans="24:33" ht="30.75" customHeight="1" x14ac:dyDescent="0.3">
      <c r="X69" s="1018">
        <f t="shared" si="3"/>
        <v>66</v>
      </c>
      <c r="Y69" s="1019" t="e">
        <f t="shared" si="4"/>
        <v>#N/A</v>
      </c>
      <c r="AB69" s="1015"/>
      <c r="AC69" s="1015"/>
      <c r="AD69" s="1">
        <f>IF(AG69="","",COUNTIFS($AG$4:AG69,AG69))</f>
        <v>27</v>
      </c>
      <c r="AE69" s="1012" t="s">
        <v>672</v>
      </c>
      <c r="AF69" s="1015">
        <f t="shared" si="5"/>
        <v>0</v>
      </c>
      <c r="AG69" s="1">
        <f t="shared" ref="AG69:AG109" si="6">IF(AF69=0,1,"")</f>
        <v>1</v>
      </c>
    </row>
    <row r="70" spans="24:33" ht="30.75" customHeight="1" x14ac:dyDescent="0.3">
      <c r="X70" s="1018">
        <f t="shared" si="3"/>
        <v>67</v>
      </c>
      <c r="Y70" s="1019" t="e">
        <f t="shared" si="4"/>
        <v>#N/A</v>
      </c>
      <c r="AB70" s="1015"/>
      <c r="AC70" s="1015"/>
      <c r="AD70" s="1">
        <f>IF(AG70="","",COUNTIFS($AG$4:AG70,AG70))</f>
        <v>28</v>
      </c>
      <c r="AE70" s="1012" t="s">
        <v>84</v>
      </c>
      <c r="AF70" s="1015">
        <f t="shared" si="5"/>
        <v>0</v>
      </c>
      <c r="AG70" s="1">
        <f t="shared" si="6"/>
        <v>1</v>
      </c>
    </row>
    <row r="71" spans="24:33" ht="30.75" customHeight="1" x14ac:dyDescent="0.3">
      <c r="X71" s="1018">
        <f t="shared" si="3"/>
        <v>68</v>
      </c>
      <c r="Y71" s="1019" t="e">
        <f t="shared" si="4"/>
        <v>#N/A</v>
      </c>
      <c r="AD71" s="1">
        <f>IF(AG71="","",COUNTIFS($AG$4:AG71,AG71))</f>
        <v>29</v>
      </c>
      <c r="AE71" s="1012" t="s">
        <v>124</v>
      </c>
      <c r="AF71" s="1015">
        <f t="shared" si="5"/>
        <v>0</v>
      </c>
      <c r="AG71" s="1">
        <f t="shared" si="6"/>
        <v>1</v>
      </c>
    </row>
    <row r="72" spans="24:33" ht="30.75" customHeight="1" x14ac:dyDescent="0.3">
      <c r="X72" s="1018">
        <f t="shared" si="3"/>
        <v>69</v>
      </c>
      <c r="Y72" s="1019" t="e">
        <f t="shared" si="4"/>
        <v>#N/A</v>
      </c>
      <c r="AD72" s="1">
        <f>IF(AG72="","",COUNTIFS($AG$4:AG72,AG72))</f>
        <v>30</v>
      </c>
      <c r="AE72" s="1012" t="s">
        <v>285</v>
      </c>
      <c r="AF72" s="1015">
        <f t="shared" si="5"/>
        <v>0</v>
      </c>
      <c r="AG72" s="1">
        <f t="shared" si="6"/>
        <v>1</v>
      </c>
    </row>
    <row r="73" spans="24:33" ht="30.75" customHeight="1" x14ac:dyDescent="0.3">
      <c r="X73" s="1018">
        <f t="shared" si="3"/>
        <v>70</v>
      </c>
      <c r="Y73" s="1019" t="e">
        <f t="shared" si="4"/>
        <v>#N/A</v>
      </c>
      <c r="AD73" s="1">
        <f>IF(AG73="","",COUNTIFS($AG$4:AG73,AG73))</f>
        <v>31</v>
      </c>
      <c r="AE73" s="1012" t="s">
        <v>664</v>
      </c>
      <c r="AF73" s="1015">
        <f t="shared" si="5"/>
        <v>0</v>
      </c>
      <c r="AG73" s="1">
        <f t="shared" si="6"/>
        <v>1</v>
      </c>
    </row>
    <row r="74" spans="24:33" ht="30.75" customHeight="1" x14ac:dyDescent="0.3">
      <c r="X74" s="1018">
        <f t="shared" ref="X74:X110" si="7">X73+1</f>
        <v>71</v>
      </c>
      <c r="Y74" s="1019" t="e">
        <f t="shared" si="4"/>
        <v>#N/A</v>
      </c>
      <c r="AD74" s="1">
        <f>IF(AG74="","",COUNTIFS($AG$4:AG74,AG74))</f>
        <v>32</v>
      </c>
      <c r="AE74" s="1012" t="s">
        <v>258</v>
      </c>
      <c r="AF74" s="1015">
        <f t="shared" si="5"/>
        <v>0</v>
      </c>
      <c r="AG74" s="1">
        <f t="shared" si="6"/>
        <v>1</v>
      </c>
    </row>
    <row r="75" spans="24:33" ht="30.75" customHeight="1" x14ac:dyDescent="0.3">
      <c r="X75" s="1018">
        <f t="shared" si="7"/>
        <v>72</v>
      </c>
      <c r="Y75" s="1019" t="e">
        <f t="shared" si="4"/>
        <v>#N/A</v>
      </c>
      <c r="AD75" s="1">
        <f>IF(AG75="","",COUNTIFS($AG$4:AG75,AG75))</f>
        <v>33</v>
      </c>
      <c r="AE75" s="1012" t="s">
        <v>665</v>
      </c>
      <c r="AF75" s="1015">
        <f t="shared" si="5"/>
        <v>0</v>
      </c>
      <c r="AG75" s="1">
        <f t="shared" si="6"/>
        <v>1</v>
      </c>
    </row>
    <row r="76" spans="24:33" ht="30.75" customHeight="1" x14ac:dyDescent="0.3">
      <c r="X76" s="1018">
        <f t="shared" si="7"/>
        <v>73</v>
      </c>
      <c r="Y76" s="1019" t="e">
        <f t="shared" si="4"/>
        <v>#N/A</v>
      </c>
      <c r="AD76" s="1">
        <f>IF(AG76="","",COUNTIFS($AG$4:AG76,AG76))</f>
        <v>34</v>
      </c>
      <c r="AE76" s="1012" t="s">
        <v>666</v>
      </c>
      <c r="AF76" s="1015">
        <f t="shared" si="5"/>
        <v>0</v>
      </c>
      <c r="AG76" s="1">
        <f t="shared" si="6"/>
        <v>1</v>
      </c>
    </row>
    <row r="77" spans="24:33" ht="30.75" customHeight="1" x14ac:dyDescent="0.3">
      <c r="X77" s="1018">
        <f t="shared" si="7"/>
        <v>74</v>
      </c>
      <c r="Y77" s="1019" t="e">
        <f t="shared" si="4"/>
        <v>#N/A</v>
      </c>
      <c r="AD77" s="1">
        <f>IF(AG77="","",COUNTIFS($AG$4:AG77,AG77))</f>
        <v>35</v>
      </c>
      <c r="AE77" s="1012" t="s">
        <v>667</v>
      </c>
      <c r="AF77" s="1015">
        <f t="shared" si="5"/>
        <v>0</v>
      </c>
      <c r="AG77" s="1">
        <f t="shared" si="6"/>
        <v>1</v>
      </c>
    </row>
    <row r="78" spans="24:33" ht="30.75" customHeight="1" x14ac:dyDescent="0.3">
      <c r="X78" s="1018">
        <f t="shared" si="7"/>
        <v>75</v>
      </c>
      <c r="Y78" s="1019" t="e">
        <f t="shared" si="4"/>
        <v>#N/A</v>
      </c>
      <c r="AD78" s="1" t="str">
        <f>IF(AG78="","",COUNTIFS($AG$4:AG78,AG78))</f>
        <v/>
      </c>
      <c r="AE78" s="1012" t="s">
        <v>668</v>
      </c>
      <c r="AF78" s="1015">
        <f t="shared" si="5"/>
        <v>1</v>
      </c>
      <c r="AG78" s="1" t="str">
        <f t="shared" si="6"/>
        <v/>
      </c>
    </row>
    <row r="79" spans="24:33" ht="30.75" customHeight="1" x14ac:dyDescent="0.3">
      <c r="X79" s="1018">
        <f t="shared" si="7"/>
        <v>76</v>
      </c>
      <c r="Y79" s="1019" t="e">
        <f t="shared" si="4"/>
        <v>#N/A</v>
      </c>
      <c r="AD79" s="1">
        <f>IF(AG79="","",COUNTIFS($AG$4:AG79,AG79))</f>
        <v>36</v>
      </c>
      <c r="AE79" s="1012" t="s">
        <v>670</v>
      </c>
      <c r="AF79" s="1015">
        <f t="shared" si="5"/>
        <v>0</v>
      </c>
      <c r="AG79" s="1">
        <f t="shared" si="6"/>
        <v>1</v>
      </c>
    </row>
    <row r="80" spans="24:33" ht="30.75" customHeight="1" x14ac:dyDescent="0.3">
      <c r="X80" s="1018">
        <f t="shared" si="7"/>
        <v>77</v>
      </c>
      <c r="Y80" s="1019" t="e">
        <f t="shared" si="4"/>
        <v>#N/A</v>
      </c>
      <c r="AD80" s="1">
        <f>IF(AG80="","",COUNTIFS($AG$4:AG80,AG80))</f>
        <v>37</v>
      </c>
      <c r="AE80" s="1012" t="s">
        <v>669</v>
      </c>
      <c r="AF80" s="1015">
        <f t="shared" si="5"/>
        <v>0</v>
      </c>
      <c r="AG80" s="1">
        <f t="shared" si="6"/>
        <v>1</v>
      </c>
    </row>
    <row r="81" spans="24:33" ht="30.75" customHeight="1" x14ac:dyDescent="0.3">
      <c r="X81" s="1018">
        <f t="shared" si="7"/>
        <v>78</v>
      </c>
      <c r="Y81" s="1019" t="e">
        <f t="shared" si="4"/>
        <v>#N/A</v>
      </c>
      <c r="AD81" s="1">
        <f>IF(AG81="","",COUNTIFS($AG$4:AG81,AG81))</f>
        <v>38</v>
      </c>
      <c r="AE81" s="1012" t="s">
        <v>382</v>
      </c>
      <c r="AF81" s="1015">
        <f t="shared" si="5"/>
        <v>0</v>
      </c>
      <c r="AG81" s="1">
        <f t="shared" si="6"/>
        <v>1</v>
      </c>
    </row>
    <row r="82" spans="24:33" ht="30.75" customHeight="1" x14ac:dyDescent="0.3">
      <c r="X82" s="1018">
        <f t="shared" si="7"/>
        <v>79</v>
      </c>
      <c r="Y82" s="1019" t="e">
        <f t="shared" si="4"/>
        <v>#N/A</v>
      </c>
      <c r="AD82" s="1">
        <f>IF(AG82="","",COUNTIFS($AG$4:AG82,AG82))</f>
        <v>39</v>
      </c>
      <c r="AE82" s="1012" t="s">
        <v>241</v>
      </c>
      <c r="AF82" s="1015">
        <f t="shared" si="5"/>
        <v>0</v>
      </c>
      <c r="AG82" s="1">
        <f t="shared" si="6"/>
        <v>1</v>
      </c>
    </row>
    <row r="83" spans="24:33" ht="30.75" customHeight="1" x14ac:dyDescent="0.3">
      <c r="X83" s="1018">
        <f t="shared" si="7"/>
        <v>80</v>
      </c>
      <c r="Y83" s="1019" t="e">
        <f t="shared" si="4"/>
        <v>#N/A</v>
      </c>
      <c r="AD83" s="1" t="str">
        <f>IF(AG83="","",COUNTIFS($AG$4:AG83,AG83))</f>
        <v/>
      </c>
      <c r="AE83" s="1012" t="s">
        <v>661</v>
      </c>
      <c r="AF83" s="1015">
        <f t="shared" si="5"/>
        <v>1</v>
      </c>
      <c r="AG83" s="1" t="str">
        <f t="shared" si="6"/>
        <v/>
      </c>
    </row>
    <row r="84" spans="24:33" ht="30.75" customHeight="1" x14ac:dyDescent="0.3">
      <c r="X84" s="1018">
        <f t="shared" si="7"/>
        <v>81</v>
      </c>
      <c r="Y84" s="1019" t="e">
        <f t="shared" si="4"/>
        <v>#N/A</v>
      </c>
      <c r="AD84" s="1">
        <f>IF(AG84="","",COUNTIFS($AG$4:AG84,AG84))</f>
        <v>40</v>
      </c>
      <c r="AE84" s="1012" t="s">
        <v>414</v>
      </c>
      <c r="AF84" s="1015">
        <f t="shared" si="5"/>
        <v>0</v>
      </c>
      <c r="AG84" s="1">
        <f t="shared" si="6"/>
        <v>1</v>
      </c>
    </row>
    <row r="85" spans="24:33" ht="30.75" customHeight="1" x14ac:dyDescent="0.3">
      <c r="X85" s="1018">
        <f t="shared" si="7"/>
        <v>82</v>
      </c>
      <c r="Y85" s="1019" t="e">
        <f t="shared" si="4"/>
        <v>#N/A</v>
      </c>
      <c r="AD85" s="1">
        <f>IF(AG85="","",COUNTIFS($AG$4:AG85,AG85))</f>
        <v>41</v>
      </c>
      <c r="AE85" s="1012" t="s">
        <v>646</v>
      </c>
      <c r="AF85" s="1015">
        <f t="shared" si="5"/>
        <v>0</v>
      </c>
      <c r="AG85" s="1">
        <f t="shared" si="6"/>
        <v>1</v>
      </c>
    </row>
    <row r="86" spans="24:33" ht="30.75" customHeight="1" x14ac:dyDescent="0.3">
      <c r="X86" s="1018">
        <f t="shared" si="7"/>
        <v>83</v>
      </c>
      <c r="Y86" s="1019" t="e">
        <f t="shared" si="4"/>
        <v>#N/A</v>
      </c>
      <c r="AD86" s="1">
        <f>IF(AG86="","",COUNTIFS($AG$4:AG86,AG86))</f>
        <v>42</v>
      </c>
      <c r="AE86" s="1012" t="s">
        <v>652</v>
      </c>
      <c r="AF86" s="1015">
        <f t="shared" si="5"/>
        <v>0</v>
      </c>
      <c r="AG86" s="1">
        <f t="shared" si="6"/>
        <v>1</v>
      </c>
    </row>
    <row r="87" spans="24:33" ht="30.75" customHeight="1" x14ac:dyDescent="0.3">
      <c r="X87" s="1018">
        <f t="shared" si="7"/>
        <v>84</v>
      </c>
      <c r="Y87" s="1019" t="e">
        <f t="shared" si="4"/>
        <v>#N/A</v>
      </c>
      <c r="AD87" s="1">
        <f>IF(AG87="","",COUNTIFS($AG$4:AG87,AG87))</f>
        <v>43</v>
      </c>
      <c r="AE87" s="1012" t="s">
        <v>647</v>
      </c>
      <c r="AF87" s="1015">
        <f t="shared" si="5"/>
        <v>0</v>
      </c>
      <c r="AG87" s="1">
        <f t="shared" si="6"/>
        <v>1</v>
      </c>
    </row>
    <row r="88" spans="24:33" ht="30.75" customHeight="1" x14ac:dyDescent="0.3">
      <c r="X88" s="1018">
        <f t="shared" si="7"/>
        <v>85</v>
      </c>
      <c r="Y88" s="1019" t="e">
        <f t="shared" si="4"/>
        <v>#N/A</v>
      </c>
      <c r="AD88" s="1">
        <f>IF(AG88="","",COUNTIFS($AG$4:AG88,AG88))</f>
        <v>44</v>
      </c>
      <c r="AE88" s="1012" t="s">
        <v>653</v>
      </c>
      <c r="AF88" s="1015">
        <f t="shared" si="5"/>
        <v>0</v>
      </c>
      <c r="AG88" s="1">
        <f t="shared" si="6"/>
        <v>1</v>
      </c>
    </row>
    <row r="89" spans="24:33" ht="30.75" customHeight="1" x14ac:dyDescent="0.3">
      <c r="X89" s="1018">
        <f t="shared" si="7"/>
        <v>86</v>
      </c>
      <c r="Y89" s="1019" t="e">
        <f t="shared" si="4"/>
        <v>#N/A</v>
      </c>
      <c r="AD89" s="1">
        <f>IF(AG89="","",COUNTIFS($AG$4:AG89,AG89))</f>
        <v>45</v>
      </c>
      <c r="AE89" s="1012" t="s">
        <v>674</v>
      </c>
      <c r="AF89" s="1015">
        <f t="shared" si="5"/>
        <v>0</v>
      </c>
      <c r="AG89" s="1">
        <f t="shared" si="6"/>
        <v>1</v>
      </c>
    </row>
    <row r="90" spans="24:33" ht="30.75" customHeight="1" x14ac:dyDescent="0.3">
      <c r="X90" s="1018">
        <f t="shared" si="7"/>
        <v>87</v>
      </c>
      <c r="Y90" s="1019" t="e">
        <f t="shared" si="4"/>
        <v>#N/A</v>
      </c>
      <c r="AD90" s="1">
        <f>IF(AG90="","",COUNTIFS($AG$4:AG90,AG90))</f>
        <v>46</v>
      </c>
      <c r="AE90" s="1012" t="s">
        <v>675</v>
      </c>
      <c r="AF90" s="1015">
        <f t="shared" si="5"/>
        <v>0</v>
      </c>
      <c r="AG90" s="1">
        <f t="shared" si="6"/>
        <v>1</v>
      </c>
    </row>
    <row r="91" spans="24:33" ht="30.75" customHeight="1" x14ac:dyDescent="0.3">
      <c r="X91" s="1018">
        <f t="shared" si="7"/>
        <v>88</v>
      </c>
      <c r="Y91" s="1019" t="e">
        <f t="shared" si="4"/>
        <v>#N/A</v>
      </c>
      <c r="AD91" s="1" t="str">
        <f>IF(AG91="","",COUNTIFS($AG$4:AG91,AG91))</f>
        <v/>
      </c>
      <c r="AE91" s="1012" t="s">
        <v>355</v>
      </c>
      <c r="AF91" s="1015">
        <f t="shared" si="5"/>
        <v>1</v>
      </c>
      <c r="AG91" s="1" t="str">
        <f t="shared" si="6"/>
        <v/>
      </c>
    </row>
    <row r="92" spans="24:33" ht="30.75" customHeight="1" x14ac:dyDescent="0.3">
      <c r="X92" s="1018">
        <f t="shared" si="7"/>
        <v>89</v>
      </c>
      <c r="Y92" s="1019" t="e">
        <f t="shared" si="4"/>
        <v>#N/A</v>
      </c>
      <c r="AD92" s="1" t="str">
        <f>IF(AG92="","",COUNTIFS($AG$4:AG92,AG92))</f>
        <v/>
      </c>
      <c r="AE92" s="1012" t="s">
        <v>468</v>
      </c>
      <c r="AF92" s="1015">
        <f t="shared" si="5"/>
        <v>1</v>
      </c>
      <c r="AG92" s="1" t="str">
        <f t="shared" si="6"/>
        <v/>
      </c>
    </row>
    <row r="93" spans="24:33" ht="30.75" customHeight="1" x14ac:dyDescent="0.3">
      <c r="X93" s="1018">
        <f t="shared" si="7"/>
        <v>90</v>
      </c>
      <c r="Y93" s="1019" t="e">
        <f t="shared" si="4"/>
        <v>#N/A</v>
      </c>
      <c r="AD93" s="1">
        <f>IF(AG93="","",COUNTIFS($AG$4:AG93,AG93))</f>
        <v>47</v>
      </c>
      <c r="AE93" s="1012" t="s">
        <v>676</v>
      </c>
      <c r="AF93" s="1015">
        <f t="shared" si="5"/>
        <v>0</v>
      </c>
      <c r="AG93" s="1">
        <f t="shared" si="6"/>
        <v>1</v>
      </c>
    </row>
    <row r="94" spans="24:33" ht="30.75" customHeight="1" x14ac:dyDescent="0.3">
      <c r="X94" s="1018">
        <f t="shared" si="7"/>
        <v>91</v>
      </c>
      <c r="Y94" s="1019" t="e">
        <f t="shared" si="4"/>
        <v>#N/A</v>
      </c>
      <c r="AD94" s="1">
        <f>IF(AG94="","",COUNTIFS($AG$4:AG94,AG94))</f>
        <v>48</v>
      </c>
      <c r="AE94" s="1012" t="s">
        <v>594</v>
      </c>
      <c r="AF94" s="1015">
        <f t="shared" si="5"/>
        <v>0</v>
      </c>
      <c r="AG94" s="1">
        <f t="shared" si="6"/>
        <v>1</v>
      </c>
    </row>
    <row r="95" spans="24:33" ht="30.75" customHeight="1" x14ac:dyDescent="0.3">
      <c r="X95" s="1018">
        <f t="shared" si="7"/>
        <v>92</v>
      </c>
      <c r="Y95" s="1019" t="e">
        <f t="shared" si="4"/>
        <v>#N/A</v>
      </c>
      <c r="AD95" s="1">
        <f>IF(AG95="","",COUNTIFS($AG$4:AG95,AG95))</f>
        <v>49</v>
      </c>
      <c r="AE95" s="1012" t="s">
        <v>677</v>
      </c>
      <c r="AF95" s="1015">
        <f t="shared" si="5"/>
        <v>0</v>
      </c>
      <c r="AG95" s="1">
        <f t="shared" si="6"/>
        <v>1</v>
      </c>
    </row>
    <row r="96" spans="24:33" ht="30.75" customHeight="1" x14ac:dyDescent="0.3">
      <c r="X96" s="1018">
        <f t="shared" si="7"/>
        <v>93</v>
      </c>
      <c r="Y96" s="1019" t="e">
        <f t="shared" si="4"/>
        <v>#N/A</v>
      </c>
      <c r="AD96" s="1">
        <f>IF(AG96="","",COUNTIFS($AG$4:AG96,AG96))</f>
        <v>50</v>
      </c>
      <c r="AE96" s="1012" t="s">
        <v>678</v>
      </c>
      <c r="AF96" s="1015">
        <f t="shared" si="5"/>
        <v>0</v>
      </c>
      <c r="AG96" s="1">
        <f t="shared" si="6"/>
        <v>1</v>
      </c>
    </row>
    <row r="97" spans="24:33" ht="30.75" customHeight="1" x14ac:dyDescent="0.3">
      <c r="X97" s="1018">
        <f t="shared" si="7"/>
        <v>94</v>
      </c>
      <c r="Y97" s="1019" t="e">
        <f t="shared" si="4"/>
        <v>#N/A</v>
      </c>
      <c r="AD97" s="1">
        <f>IF(AG97="","",COUNTIFS($AG$4:AG97,AG97))</f>
        <v>51</v>
      </c>
      <c r="AE97" s="1012" t="s">
        <v>51</v>
      </c>
      <c r="AF97" s="1015">
        <f t="shared" si="5"/>
        <v>0</v>
      </c>
      <c r="AG97" s="1">
        <f t="shared" si="6"/>
        <v>1</v>
      </c>
    </row>
    <row r="98" spans="24:33" ht="30.75" customHeight="1" x14ac:dyDescent="0.3">
      <c r="X98" s="1018">
        <f t="shared" si="7"/>
        <v>95</v>
      </c>
      <c r="Y98" s="1019" t="e">
        <f t="shared" si="4"/>
        <v>#N/A</v>
      </c>
      <c r="AD98" s="1" t="str">
        <f>IF(AG98="","",COUNTIFS($AG$4:AG98,AG98))</f>
        <v/>
      </c>
      <c r="AE98" s="1012" t="s">
        <v>80</v>
      </c>
      <c r="AF98" s="1015">
        <f t="shared" si="5"/>
        <v>1</v>
      </c>
      <c r="AG98" s="1" t="str">
        <f t="shared" si="6"/>
        <v/>
      </c>
    </row>
    <row r="99" spans="24:33" ht="30.75" customHeight="1" x14ac:dyDescent="0.3">
      <c r="X99" s="1018">
        <f t="shared" si="7"/>
        <v>96</v>
      </c>
      <c r="Y99" s="1019" t="e">
        <f t="shared" si="4"/>
        <v>#N/A</v>
      </c>
      <c r="AD99" s="1" t="str">
        <f>IF(AG99="","",COUNTIFS($AG$4:AG99,AG99))</f>
        <v/>
      </c>
      <c r="AE99" s="1012" t="s">
        <v>79</v>
      </c>
      <c r="AF99" s="1015">
        <f t="shared" si="5"/>
        <v>1</v>
      </c>
      <c r="AG99" s="1" t="str">
        <f t="shared" si="6"/>
        <v/>
      </c>
    </row>
    <row r="100" spans="24:33" ht="30.75" customHeight="1" x14ac:dyDescent="0.3">
      <c r="X100" s="1018">
        <f t="shared" si="7"/>
        <v>97</v>
      </c>
      <c r="Y100" s="1019" t="e">
        <f t="shared" si="4"/>
        <v>#N/A</v>
      </c>
      <c r="AD100" s="1" t="str">
        <f>IF(AG100="","",COUNTIFS($AG$4:AG100,AG100))</f>
        <v/>
      </c>
      <c r="AE100" s="1012" t="s">
        <v>37</v>
      </c>
      <c r="AF100" s="1015">
        <f t="shared" si="5"/>
        <v>1</v>
      </c>
      <c r="AG100" s="1" t="str">
        <f t="shared" si="6"/>
        <v/>
      </c>
    </row>
    <row r="101" spans="24:33" ht="30.75" customHeight="1" x14ac:dyDescent="0.3">
      <c r="X101" s="1018">
        <f t="shared" si="7"/>
        <v>98</v>
      </c>
      <c r="Y101" s="1019" t="e">
        <f t="shared" si="4"/>
        <v>#N/A</v>
      </c>
      <c r="AD101" s="1">
        <f>IF(AG101="","",COUNTIFS($AG$4:AG101,AG101))</f>
        <v>52</v>
      </c>
      <c r="AE101" s="1012" t="s">
        <v>469</v>
      </c>
      <c r="AF101" s="1015">
        <f t="shared" si="5"/>
        <v>0</v>
      </c>
      <c r="AG101" s="1">
        <f t="shared" si="6"/>
        <v>1</v>
      </c>
    </row>
    <row r="102" spans="24:33" ht="30.75" customHeight="1" x14ac:dyDescent="0.3">
      <c r="X102" s="1018">
        <f t="shared" si="7"/>
        <v>99</v>
      </c>
      <c r="Y102" s="1019" t="e">
        <f t="shared" si="4"/>
        <v>#N/A</v>
      </c>
      <c r="AD102" s="1" t="str">
        <f>IF(AG102="","",COUNTIFS($AG$4:AG102,AG102))</f>
        <v/>
      </c>
      <c r="AE102" s="1012" t="s">
        <v>22</v>
      </c>
      <c r="AF102" s="1015">
        <f t="shared" si="5"/>
        <v>1</v>
      </c>
      <c r="AG102" s="1" t="str">
        <f t="shared" si="6"/>
        <v/>
      </c>
    </row>
    <row r="103" spans="24:33" ht="30.75" customHeight="1" x14ac:dyDescent="0.3">
      <c r="X103" s="1018">
        <f t="shared" si="7"/>
        <v>100</v>
      </c>
      <c r="Y103" s="1019" t="e">
        <f t="shared" si="4"/>
        <v>#N/A</v>
      </c>
      <c r="AD103" s="1">
        <f>IF(AG103="","",COUNTIFS($AG$4:AG103,AG103))</f>
        <v>53</v>
      </c>
      <c r="AE103" s="1012" t="s">
        <v>679</v>
      </c>
      <c r="AF103" s="1015">
        <f t="shared" si="5"/>
        <v>0</v>
      </c>
      <c r="AG103" s="1">
        <f t="shared" si="6"/>
        <v>1</v>
      </c>
    </row>
    <row r="104" spans="24:33" ht="30.75" customHeight="1" x14ac:dyDescent="0.3">
      <c r="X104" s="1018">
        <f t="shared" si="7"/>
        <v>101</v>
      </c>
      <c r="Y104" s="1019" t="e">
        <f t="shared" si="4"/>
        <v>#N/A</v>
      </c>
      <c r="AD104" s="1">
        <f>IF(AG104="","",COUNTIFS($AG$4:AG104,AG104))</f>
        <v>54</v>
      </c>
      <c r="AE104" s="1012" t="s">
        <v>680</v>
      </c>
      <c r="AF104" s="1015">
        <f t="shared" si="5"/>
        <v>0</v>
      </c>
      <c r="AG104" s="1">
        <f t="shared" si="6"/>
        <v>1</v>
      </c>
    </row>
    <row r="105" spans="24:33" ht="30.75" customHeight="1" x14ac:dyDescent="0.3">
      <c r="X105" s="1018">
        <f t="shared" si="7"/>
        <v>102</v>
      </c>
      <c r="Y105" s="1019" t="e">
        <f t="shared" si="4"/>
        <v>#N/A</v>
      </c>
      <c r="AD105" s="1" t="str">
        <f>IF(AG105="","",COUNTIFS($AG$4:AG105,AG105))</f>
        <v/>
      </c>
      <c r="AE105" s="1012" t="s">
        <v>47</v>
      </c>
      <c r="AF105" s="1015">
        <f t="shared" si="5"/>
        <v>1</v>
      </c>
      <c r="AG105" s="1" t="str">
        <f t="shared" si="6"/>
        <v/>
      </c>
    </row>
    <row r="106" spans="24:33" ht="30.75" customHeight="1" x14ac:dyDescent="0.3">
      <c r="X106" s="1018">
        <f t="shared" si="7"/>
        <v>103</v>
      </c>
      <c r="Y106" s="1019" t="e">
        <f t="shared" si="4"/>
        <v>#N/A</v>
      </c>
      <c r="AD106" s="1">
        <f>IF(AG106="","",COUNTIFS($AG$4:AG106,AG106))</f>
        <v>55</v>
      </c>
      <c r="AE106" s="1012" t="s">
        <v>296</v>
      </c>
      <c r="AF106" s="1015">
        <f t="shared" si="5"/>
        <v>0</v>
      </c>
      <c r="AG106" s="1">
        <f t="shared" si="6"/>
        <v>1</v>
      </c>
    </row>
    <row r="107" spans="24:33" ht="30.75" customHeight="1" x14ac:dyDescent="0.3">
      <c r="X107" s="1018">
        <f t="shared" si="7"/>
        <v>104</v>
      </c>
      <c r="Y107" s="1019" t="e">
        <f t="shared" si="4"/>
        <v>#N/A</v>
      </c>
      <c r="AD107" s="1" t="str">
        <f>IF(AG107="","",COUNTIFS($AG$4:AG107,AG107))</f>
        <v/>
      </c>
      <c r="AE107" s="1012" t="s">
        <v>458</v>
      </c>
      <c r="AF107" s="1015">
        <f t="shared" si="5"/>
        <v>1</v>
      </c>
      <c r="AG107" s="1" t="str">
        <f t="shared" si="6"/>
        <v/>
      </c>
    </row>
    <row r="108" spans="24:33" ht="30.75" customHeight="1" x14ac:dyDescent="0.3">
      <c r="X108" s="1018">
        <f t="shared" si="7"/>
        <v>105</v>
      </c>
      <c r="Y108" s="1019" t="e">
        <f t="shared" si="4"/>
        <v>#N/A</v>
      </c>
      <c r="AD108" s="1">
        <f>IF(AG108="","",COUNTIFS($AG$4:AG108,AG108))</f>
        <v>56</v>
      </c>
      <c r="AE108" s="1012" t="s">
        <v>462</v>
      </c>
      <c r="AF108" s="1015">
        <f t="shared" si="5"/>
        <v>0</v>
      </c>
      <c r="AG108" s="1">
        <f t="shared" si="6"/>
        <v>1</v>
      </c>
    </row>
    <row r="109" spans="24:33" ht="30.75" customHeight="1" x14ac:dyDescent="0.3">
      <c r="X109" s="1018">
        <f t="shared" si="7"/>
        <v>106</v>
      </c>
      <c r="Y109" s="1019" t="e">
        <f t="shared" si="4"/>
        <v>#N/A</v>
      </c>
      <c r="AD109" s="1">
        <f>IF(AG109="","",COUNTIFS($AG$4:AG109,AG109))</f>
        <v>57</v>
      </c>
      <c r="AE109" s="1012" t="s">
        <v>683</v>
      </c>
      <c r="AF109" s="1015">
        <f t="shared" si="5"/>
        <v>0</v>
      </c>
      <c r="AG109" s="1">
        <f t="shared" si="6"/>
        <v>1</v>
      </c>
    </row>
    <row r="110" spans="24:33" ht="30.75" customHeight="1" x14ac:dyDescent="0.3">
      <c r="X110" s="1018">
        <f t="shared" si="7"/>
        <v>107</v>
      </c>
      <c r="Y110" s="1019" t="e">
        <f t="shared" si="4"/>
        <v>#N/A</v>
      </c>
      <c r="AB110"/>
      <c r="AC110"/>
      <c r="AD110" s="1">
        <f>IF(AG110="","",COUNTIFS($AG$4:AG110,AG110))</f>
        <v>58</v>
      </c>
      <c r="AE110" s="1012" t="s">
        <v>704</v>
      </c>
      <c r="AF110" s="1015">
        <f t="shared" ref="AF110" si="8">COUNTIFS($B$3:$V$46,AE110)</f>
        <v>0</v>
      </c>
      <c r="AG110" s="1">
        <f t="shared" ref="AG110" si="9">IF(AF110=0,1,"")</f>
        <v>1</v>
      </c>
    </row>
    <row r="111" spans="24:33" ht="30.75" customHeight="1" x14ac:dyDescent="0.3">
      <c r="X111"/>
      <c r="Y111"/>
      <c r="AB111"/>
      <c r="AC111"/>
      <c r="AD111" s="1">
        <f>IF(AG111="","",COUNTIFS($AG$4:AG111,AG111))</f>
        <v>59</v>
      </c>
      <c r="AE111" s="1012" t="s">
        <v>705</v>
      </c>
      <c r="AF111" s="1015">
        <f t="shared" ref="AF111" si="10">COUNTIFS($B$3:$V$46,AE111)</f>
        <v>0</v>
      </c>
      <c r="AG111" s="1">
        <f t="shared" ref="AG111" si="11">IF(AF111=0,1,"")</f>
        <v>1</v>
      </c>
    </row>
    <row r="112" spans="24:33" ht="30.75" customHeight="1" x14ac:dyDescent="0.3">
      <c r="X112"/>
      <c r="Y112"/>
      <c r="AB112"/>
      <c r="AC112"/>
      <c r="AD112"/>
      <c r="AE112"/>
      <c r="AF112"/>
      <c r="AG112"/>
    </row>
    <row r="113" spans="24:33" ht="30.75" customHeight="1" x14ac:dyDescent="0.3">
      <c r="X113"/>
      <c r="Y113"/>
      <c r="AB113"/>
      <c r="AC113"/>
      <c r="AD113"/>
      <c r="AE113"/>
      <c r="AF113"/>
      <c r="AG113"/>
    </row>
    <row r="114" spans="24:33" ht="30.75" customHeight="1" x14ac:dyDescent="0.3">
      <c r="X114"/>
      <c r="Y114"/>
      <c r="AB114"/>
      <c r="AC114"/>
      <c r="AD114"/>
      <c r="AE114"/>
      <c r="AF114"/>
      <c r="AG114"/>
    </row>
    <row r="115" spans="24:33" ht="30.75" customHeight="1" x14ac:dyDescent="0.3">
      <c r="X115"/>
      <c r="Y115"/>
      <c r="AB115"/>
      <c r="AC115"/>
      <c r="AD115"/>
      <c r="AE115"/>
      <c r="AF115"/>
      <c r="AG115"/>
    </row>
    <row r="116" spans="24:33" ht="30.75" customHeight="1" x14ac:dyDescent="0.3">
      <c r="AE116" s="1012"/>
    </row>
    <row r="117" spans="24:33" ht="30.75" customHeight="1" x14ac:dyDescent="0.3">
      <c r="AE117" s="1012"/>
    </row>
    <row r="118" spans="24:33" ht="30.75" customHeight="1" x14ac:dyDescent="0.3">
      <c r="AE118" s="1012"/>
    </row>
    <row r="119" spans="24:33" ht="30.75" customHeight="1" x14ac:dyDescent="0.3">
      <c r="AE119" s="1012"/>
    </row>
    <row r="120" spans="24:33" ht="30.75" customHeight="1" x14ac:dyDescent="0.3">
      <c r="AE120" s="1012"/>
    </row>
    <row r="121" spans="24:33" ht="30.75" customHeight="1" x14ac:dyDescent="0.3">
      <c r="AE121" s="1012"/>
    </row>
    <row r="122" spans="24:33" ht="30.75" customHeight="1" x14ac:dyDescent="0.3">
      <c r="AE122" s="1012"/>
    </row>
    <row r="123" spans="24:33" ht="30.75" customHeight="1" x14ac:dyDescent="0.3">
      <c r="AE123" s="1012"/>
    </row>
    <row r="124" spans="24:33" ht="30.75" customHeight="1" x14ac:dyDescent="0.3">
      <c r="AE124" s="1012"/>
    </row>
    <row r="125" spans="24:33" ht="30.75" customHeight="1" x14ac:dyDescent="0.3">
      <c r="AE125" s="1012"/>
    </row>
    <row r="126" spans="24:33" ht="30.75" customHeight="1" x14ac:dyDescent="0.3">
      <c r="AE126" s="1012"/>
    </row>
    <row r="127" spans="24:33" ht="30.75" customHeight="1" x14ac:dyDescent="0.3">
      <c r="AE127" s="1012"/>
    </row>
    <row r="128" spans="24:33" ht="30.75" customHeight="1" x14ac:dyDescent="0.3">
      <c r="AE128" s="1012"/>
    </row>
    <row r="129" spans="31:31" ht="30.75" customHeight="1" x14ac:dyDescent="0.3">
      <c r="AE129" s="1012"/>
    </row>
    <row r="130" spans="31:31" ht="30.75" customHeight="1" x14ac:dyDescent="0.3">
      <c r="AE130" s="1012"/>
    </row>
    <row r="131" spans="31:31" ht="30.75" customHeight="1" x14ac:dyDescent="0.3">
      <c r="AE131" s="1012"/>
    </row>
    <row r="132" spans="31:31" ht="30.75" customHeight="1" x14ac:dyDescent="0.3">
      <c r="AE132" s="1012"/>
    </row>
    <row r="133" spans="31:31" ht="30.75" customHeight="1" x14ac:dyDescent="0.3">
      <c r="AE133" s="1012"/>
    </row>
    <row r="134" spans="31:31" ht="30.75" customHeight="1" x14ac:dyDescent="0.3">
      <c r="AE134" s="1012"/>
    </row>
    <row r="135" spans="31:31" ht="30.75" customHeight="1" x14ac:dyDescent="0.3">
      <c r="AE135" s="1012"/>
    </row>
    <row r="136" spans="31:31" ht="30.75" customHeight="1" x14ac:dyDescent="0.3">
      <c r="AE136" s="1012"/>
    </row>
    <row r="137" spans="31:31" ht="30.75" customHeight="1" x14ac:dyDescent="0.3">
      <c r="AE137" s="1012"/>
    </row>
    <row r="138" spans="31:31" ht="30.75" customHeight="1" x14ac:dyDescent="0.3">
      <c r="AE138" s="1012"/>
    </row>
    <row r="139" spans="31:31" ht="30.75" customHeight="1" x14ac:dyDescent="0.3">
      <c r="AE139" s="1012"/>
    </row>
    <row r="140" spans="31:31" ht="30.75" customHeight="1" x14ac:dyDescent="0.3">
      <c r="AE140" s="1012"/>
    </row>
    <row r="141" spans="31:31" ht="30.75" customHeight="1" x14ac:dyDescent="0.3">
      <c r="AE141" s="1012"/>
    </row>
    <row r="142" spans="31:31" ht="30.75" customHeight="1" x14ac:dyDescent="0.3">
      <c r="AE142" s="1012"/>
    </row>
    <row r="143" spans="31:31" ht="30.75" customHeight="1" x14ac:dyDescent="0.3">
      <c r="AE143" s="1012"/>
    </row>
    <row r="144" spans="31:31" ht="30.75" customHeight="1" x14ac:dyDescent="0.3">
      <c r="AE144" s="1012"/>
    </row>
    <row r="145" spans="31:31" ht="30.75" customHeight="1" x14ac:dyDescent="0.3">
      <c r="AE145" s="1012"/>
    </row>
    <row r="146" spans="31:31" ht="30.75" customHeight="1" x14ac:dyDescent="0.3">
      <c r="AE146" s="1012"/>
    </row>
    <row r="147" spans="31:31" ht="30.75" customHeight="1" x14ac:dyDescent="0.3">
      <c r="AE147" s="1012"/>
    </row>
    <row r="148" spans="31:31" ht="30.75" customHeight="1" x14ac:dyDescent="0.3">
      <c r="AE148" s="1012"/>
    </row>
    <row r="149" spans="31:31" ht="30.75" customHeight="1" x14ac:dyDescent="0.3">
      <c r="AE149" s="1012"/>
    </row>
    <row r="150" spans="31:31" ht="30.75" customHeight="1" x14ac:dyDescent="0.3">
      <c r="AE150" s="1012"/>
    </row>
    <row r="151" spans="31:31" ht="30.75" customHeight="1" x14ac:dyDescent="0.3">
      <c r="AE151" s="1012"/>
    </row>
    <row r="152" spans="31:31" ht="30.75" customHeight="1" x14ac:dyDescent="0.3">
      <c r="AE152" s="1012"/>
    </row>
    <row r="153" spans="31:31" ht="30.75" customHeight="1" x14ac:dyDescent="0.3">
      <c r="AE153" s="1012"/>
    </row>
    <row r="154" spans="31:31" ht="30.75" customHeight="1" x14ac:dyDescent="0.3">
      <c r="AE154" s="1012"/>
    </row>
    <row r="155" spans="31:31" ht="30.75" customHeight="1" x14ac:dyDescent="0.3">
      <c r="AE155" s="1012"/>
    </row>
    <row r="156" spans="31:31" ht="30.75" customHeight="1" x14ac:dyDescent="0.3">
      <c r="AE156" s="1012"/>
    </row>
    <row r="157" spans="31:31" ht="30.75" customHeight="1" x14ac:dyDescent="0.3">
      <c r="AE157" s="1012"/>
    </row>
    <row r="158" spans="31:31" ht="30.75" customHeight="1" x14ac:dyDescent="0.3">
      <c r="AE158" s="1012"/>
    </row>
    <row r="159" spans="31:31" ht="30.75" customHeight="1" x14ac:dyDescent="0.3">
      <c r="AE159" s="1012"/>
    </row>
    <row r="160" spans="31:31" ht="30.75" customHeight="1" x14ac:dyDescent="0.3">
      <c r="AE160" s="1012"/>
    </row>
    <row r="161" spans="31:31" ht="30.75" customHeight="1" x14ac:dyDescent="0.3">
      <c r="AE161" s="1012"/>
    </row>
    <row r="162" spans="31:31" ht="30.75" customHeight="1" x14ac:dyDescent="0.3">
      <c r="AE162" s="1012"/>
    </row>
    <row r="163" spans="31:31" ht="30.75" customHeight="1" x14ac:dyDescent="0.3">
      <c r="AE163" s="1012"/>
    </row>
    <row r="164" spans="31:31" ht="30.75" customHeight="1" x14ac:dyDescent="0.3">
      <c r="AE164" s="1012"/>
    </row>
    <row r="165" spans="31:31" ht="30.75" customHeight="1" x14ac:dyDescent="0.3">
      <c r="AE165" s="1012"/>
    </row>
    <row r="166" spans="31:31" ht="30.75" customHeight="1" x14ac:dyDescent="0.3">
      <c r="AE166" s="1012"/>
    </row>
    <row r="167" spans="31:31" ht="30.75" customHeight="1" x14ac:dyDescent="0.3">
      <c r="AE167" s="1012"/>
    </row>
    <row r="168" spans="31:31" ht="30.75" customHeight="1" x14ac:dyDescent="0.3">
      <c r="AE168" s="1012"/>
    </row>
    <row r="169" spans="31:31" ht="30.75" customHeight="1" x14ac:dyDescent="0.3">
      <c r="AE169" s="1012"/>
    </row>
    <row r="170" spans="31:31" ht="30.75" customHeight="1" x14ac:dyDescent="0.3">
      <c r="AE170" s="1012"/>
    </row>
    <row r="171" spans="31:31" ht="30.75" customHeight="1" x14ac:dyDescent="0.3">
      <c r="AE171" s="1012"/>
    </row>
    <row r="172" spans="31:31" ht="30.75" customHeight="1" x14ac:dyDescent="0.3">
      <c r="AE172" s="1012"/>
    </row>
    <row r="173" spans="31:31" ht="30.75" customHeight="1" x14ac:dyDescent="0.3">
      <c r="AE173" s="1012"/>
    </row>
    <row r="174" spans="31:31" ht="30.75" customHeight="1" x14ac:dyDescent="0.3">
      <c r="AE174" s="1012"/>
    </row>
    <row r="175" spans="31:31" ht="30.75" customHeight="1" x14ac:dyDescent="0.3">
      <c r="AE175" s="1012"/>
    </row>
    <row r="176" spans="31:31" ht="30.75" customHeight="1" x14ac:dyDescent="0.3">
      <c r="AE176" s="1012"/>
    </row>
    <row r="177" spans="31:31" ht="30.75" customHeight="1" x14ac:dyDescent="0.3">
      <c r="AE177" s="1012"/>
    </row>
    <row r="178" spans="31:31" ht="30.75" customHeight="1" x14ac:dyDescent="0.3">
      <c r="AE178" s="1012"/>
    </row>
    <row r="179" spans="31:31" ht="30.75" customHeight="1" x14ac:dyDescent="0.3">
      <c r="AE179" s="1012"/>
    </row>
    <row r="180" spans="31:31" ht="30.75" customHeight="1" x14ac:dyDescent="0.3">
      <c r="AE180" s="1012"/>
    </row>
    <row r="181" spans="31:31" ht="30.75" customHeight="1" x14ac:dyDescent="0.3">
      <c r="AE181" s="1012"/>
    </row>
    <row r="182" spans="31:31" ht="30.75" customHeight="1" x14ac:dyDescent="0.3">
      <c r="AE182" s="1012"/>
    </row>
    <row r="183" spans="31:31" ht="30.75" customHeight="1" x14ac:dyDescent="0.3">
      <c r="AE183" s="1012"/>
    </row>
    <row r="184" spans="31:31" ht="30.75" customHeight="1" x14ac:dyDescent="0.3">
      <c r="AE184" s="1012"/>
    </row>
    <row r="185" spans="31:31" ht="30.75" customHeight="1" x14ac:dyDescent="0.3">
      <c r="AE185" s="1012"/>
    </row>
    <row r="186" spans="31:31" ht="30.75" customHeight="1" x14ac:dyDescent="0.3">
      <c r="AE186" s="1012"/>
    </row>
    <row r="187" spans="31:31" ht="30.75" customHeight="1" x14ac:dyDescent="0.3">
      <c r="AE187" s="1012"/>
    </row>
    <row r="188" spans="31:31" ht="30.75" customHeight="1" x14ac:dyDescent="0.3">
      <c r="AE188" s="1012"/>
    </row>
    <row r="189" spans="31:31" ht="30.75" customHeight="1" x14ac:dyDescent="0.3">
      <c r="AE189" s="1012"/>
    </row>
  </sheetData>
  <mergeCells count="40">
    <mergeCell ref="C4:F4"/>
    <mergeCell ref="G4:J4"/>
    <mergeCell ref="K4:N4"/>
    <mergeCell ref="O4:R4"/>
    <mergeCell ref="S4:V4"/>
    <mergeCell ref="S9:V9"/>
    <mergeCell ref="B10:B11"/>
    <mergeCell ref="B14:B17"/>
    <mergeCell ref="C17:F17"/>
    <mergeCell ref="G17:J17"/>
    <mergeCell ref="K17:N17"/>
    <mergeCell ref="O17:R17"/>
    <mergeCell ref="S17:V17"/>
    <mergeCell ref="B6:B9"/>
    <mergeCell ref="C9:F9"/>
    <mergeCell ref="G9:J9"/>
    <mergeCell ref="K9:N9"/>
    <mergeCell ref="O9:R9"/>
    <mergeCell ref="B18:B19"/>
    <mergeCell ref="B22:B25"/>
    <mergeCell ref="C25:F25"/>
    <mergeCell ref="G25:J25"/>
    <mergeCell ref="K25:N25"/>
    <mergeCell ref="S25:V25"/>
    <mergeCell ref="B26:B27"/>
    <mergeCell ref="B30:B33"/>
    <mergeCell ref="C33:F33"/>
    <mergeCell ref="G33:J33"/>
    <mergeCell ref="K33:N33"/>
    <mergeCell ref="O33:R33"/>
    <mergeCell ref="S33:V33"/>
    <mergeCell ref="O25:R25"/>
    <mergeCell ref="S41:V41"/>
    <mergeCell ref="B42:B43"/>
    <mergeCell ref="B34:B35"/>
    <mergeCell ref="B38:B41"/>
    <mergeCell ref="C41:F41"/>
    <mergeCell ref="G41:J41"/>
    <mergeCell ref="K41:N41"/>
    <mergeCell ref="O41:R41"/>
  </mergeCells>
  <phoneticPr fontId="2" type="noConversion"/>
  <conditionalFormatting sqref="B4:V31 B32:F32 H32:V32 B33:V45">
    <cfRule type="containsText" dxfId="55" priority="1" operator="containsText" text="현대홈">
      <formula>NOT(ISERROR(SEARCH("현대홈",B4)))</formula>
    </cfRule>
  </conditionalFormatting>
  <conditionalFormatting sqref="O41:R41">
    <cfRule type="containsText" dxfId="54" priority="19" operator="containsText" text="더베스트 이재명">
      <formula>NOT(ISERROR(SEARCH("더베스트 이재명",O41)))</formula>
    </cfRule>
    <cfRule type="containsText" dxfId="53" priority="20" operator="containsText" text="더베스트 김효제">
      <formula>NOT(ISERROR(SEARCH("더베스트 김효제",O41)))</formula>
    </cfRule>
    <cfRule type="containsText" dxfId="52" priority="21" operator="containsText" text="트루">
      <formula>NOT(ISERROR(SEARCH("트루",O41)))</formula>
    </cfRule>
    <cfRule type="containsText" dxfId="51" priority="22" operator="containsText" text="현대홈">
      <formula>NOT(ISERROR(SEARCH("현대홈",O41)))</formula>
    </cfRule>
  </conditionalFormatting>
  <conditionalFormatting sqref="X73">
    <cfRule type="containsText" dxfId="50" priority="3" operator="containsText" text="더베스트 김효제">
      <formula>NOT(ISERROR(SEARCH("더베스트 김효제",X73)))</formula>
    </cfRule>
    <cfRule type="containsText" dxfId="49" priority="4" operator="containsText" text="트루">
      <formula>NOT(ISERROR(SEARCH("트루",X73)))</formula>
    </cfRule>
    <cfRule type="containsText" dxfId="48" priority="5" operator="containsText" text="현대홈">
      <formula>NOT(ISERROR(SEARCH("현대홈",X73)))</formula>
    </cfRule>
  </conditionalFormatting>
  <conditionalFormatting sqref="AB48:AC70">
    <cfRule type="containsText" dxfId="47" priority="9" operator="containsText" text="더베스트 김효제">
      <formula>NOT(ISERROR(SEARCH("더베스트 김효제",AB48)))</formula>
    </cfRule>
    <cfRule type="containsText" dxfId="46" priority="10" operator="containsText" text="트루">
      <formula>NOT(ISERROR(SEARCH("트루",AB48)))</formula>
    </cfRule>
    <cfRule type="containsText" dxfId="45" priority="11" operator="containsText" text="현대홈">
      <formula>NOT(ISERROR(SEARCH("현대홈",AB48)))</formula>
    </cfRule>
  </conditionalFormatting>
  <conditionalFormatting sqref="AE1:AG45 X1:X111 AB22:AC44 AE46:AE56 AF46:AG111 AF111:AF189">
    <cfRule type="containsText" dxfId="44" priority="16" operator="containsText" text="더베스트 김효제">
      <formula>NOT(ISERROR(SEARCH("더베스트 김효제",X1)))</formula>
    </cfRule>
    <cfRule type="containsText" dxfId="43" priority="17" operator="containsText" text="트루">
      <formula>NOT(ISERROR(SEARCH("트루",X1)))</formula>
    </cfRule>
    <cfRule type="containsText" dxfId="42" priority="18" operator="containsText" text="현대홈">
      <formula>NOT(ISERROR(SEARCH("현대홈",X1)))</formula>
    </cfRule>
  </conditionalFormatting>
  <conditionalFormatting sqref="AF4:AF111">
    <cfRule type="cellIs" dxfId="41" priority="2" operator="equal">
      <formula>0</formula>
    </cfRule>
  </conditionalFormatting>
  <conditionalFormatting sqref="AF46:AF55">
    <cfRule type="containsText" dxfId="40" priority="13" operator="containsText" text="트루">
      <formula>NOT(ISERROR(SEARCH("트루",AF46)))</formula>
    </cfRule>
    <cfRule type="containsText" dxfId="39" priority="14" operator="containsText" text="현대홈">
      <formula>NOT(ISERROR(SEARCH("현대홈",AF46)))</formula>
    </cfRule>
  </conditionalFormatting>
  <conditionalFormatting sqref="AF46:AF111">
    <cfRule type="containsText" dxfId="38" priority="12" operator="containsText" text="더베스트 김효제">
      <formula>NOT(ISERROR(SEARCH("더베스트 김효제",AF46)))</formula>
    </cfRule>
  </conditionalFormatting>
  <conditionalFormatting sqref="AF53:AF111">
    <cfRule type="containsText" dxfId="37" priority="6" operator="containsText" text="더베스트 김효제">
      <formula>NOT(ISERROR(SEARCH("더베스트 김효제",AF53)))</formula>
    </cfRule>
    <cfRule type="containsText" dxfId="36" priority="7" operator="containsText" text="트루">
      <formula>NOT(ISERROR(SEARCH("트루",AF53)))</formula>
    </cfRule>
    <cfRule type="containsText" dxfId="35" priority="8" operator="containsText" text="현대홈">
      <formula>NOT(ISERROR(SEARCH("현대홈",AF53)))</formula>
    </cfRule>
  </conditionalFormatting>
  <conditionalFormatting sqref="AF1:AG109 AB110:AG1048576 AB19:AE109 X1:X1048576 AB1:AC3 AD1:AE18 AB5:AC18">
    <cfRule type="containsText" dxfId="34" priority="15" operator="containsText" text="더베스트 이재명">
      <formula>NOT(ISERROR(SEARCH("더베스트 이재명",X1)))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182D-CF7E-44D0-9C7D-6A5FC46D6143}">
  <sheetPr>
    <tabColor rgb="FFC00000"/>
  </sheetPr>
  <dimension ref="B1:AH189"/>
  <sheetViews>
    <sheetView showGridLines="0" tabSelected="1" zoomScale="55" zoomScaleNormal="55" workbookViewId="0">
      <selection activeCell="S15" sqref="S15"/>
    </sheetView>
  </sheetViews>
  <sheetFormatPr defaultRowHeight="30.75" customHeight="1" x14ac:dyDescent="0.3"/>
  <cols>
    <col min="1" max="1" width="4.125" style="1" customWidth="1"/>
    <col min="2" max="2" width="14" style="1" customWidth="1"/>
    <col min="3" max="3" width="8.375" style="1" customWidth="1"/>
    <col min="4" max="4" width="25.375" style="1" customWidth="1"/>
    <col min="5" max="6" width="9.125" style="1" customWidth="1"/>
    <col min="7" max="7" width="7.75" style="1" customWidth="1"/>
    <col min="8" max="8" width="25.375" style="1" customWidth="1"/>
    <col min="9" max="10" width="9.125" style="1" customWidth="1"/>
    <col min="11" max="11" width="7.75" style="1" customWidth="1"/>
    <col min="12" max="12" width="25.375" style="1" customWidth="1"/>
    <col min="13" max="14" width="9.125" style="1" customWidth="1"/>
    <col min="15" max="15" width="7.75" style="1" customWidth="1"/>
    <col min="16" max="16" width="25.375" style="1" customWidth="1"/>
    <col min="17" max="18" width="9.125" style="1" customWidth="1"/>
    <col min="19" max="19" width="7.75" style="1" customWidth="1"/>
    <col min="20" max="20" width="25.375" style="1" customWidth="1"/>
    <col min="21" max="22" width="9.125" style="1" customWidth="1"/>
    <col min="23" max="23" width="4.125" style="1" customWidth="1"/>
    <col min="24" max="24" width="9.125" style="1018" bestFit="1" customWidth="1"/>
    <col min="25" max="25" width="9.5" style="1019" bestFit="1" customWidth="1"/>
    <col min="28" max="28" width="9" style="1"/>
    <col min="29" max="29" width="17.75" style="1" customWidth="1"/>
    <col min="30" max="30" width="9" style="1"/>
    <col min="31" max="31" width="33.375" style="598" customWidth="1"/>
    <col min="32" max="32" width="13.25" style="1015" bestFit="1" customWidth="1"/>
    <col min="33" max="33" width="17.625" style="1" bestFit="1" customWidth="1"/>
    <col min="35" max="16384" width="9" style="1"/>
  </cols>
  <sheetData>
    <row r="1" spans="2:33" ht="30.75" customHeight="1" x14ac:dyDescent="0.3">
      <c r="B1" s="1326" t="s">
        <v>739</v>
      </c>
      <c r="C1" s="1326"/>
      <c r="D1" s="1326"/>
      <c r="E1" s="1326"/>
      <c r="F1" s="1326"/>
      <c r="G1" s="1326"/>
      <c r="H1" s="1326"/>
      <c r="I1" s="1326"/>
      <c r="J1" s="1326"/>
      <c r="K1" s="1326"/>
      <c r="L1" s="1326"/>
      <c r="M1" s="1326"/>
      <c r="N1" s="1326"/>
      <c r="O1" s="1326"/>
      <c r="P1" s="1326"/>
      <c r="Q1" s="1326"/>
      <c r="R1" s="1326"/>
      <c r="S1" s="1326"/>
      <c r="T1" s="1326"/>
      <c r="U1" s="1326"/>
      <c r="V1" s="1326"/>
      <c r="AF1" s="1015">
        <f>SUM(AF4:AF1048)</f>
        <v>50</v>
      </c>
    </row>
    <row r="2" spans="2:33" ht="96" customHeight="1" thickBot="1" x14ac:dyDescent="0.35">
      <c r="B2" s="132" t="s">
        <v>502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</row>
    <row r="3" spans="2:33" ht="30.75" customHeight="1" thickTop="1" x14ac:dyDescent="0.3"/>
    <row r="4" spans="2:33" ht="30.75" customHeight="1" thickBot="1" x14ac:dyDescent="0.35">
      <c r="B4" s="4" t="s">
        <v>0</v>
      </c>
      <c r="C4" s="1077" t="s">
        <v>1</v>
      </c>
      <c r="D4" s="1077"/>
      <c r="E4" s="1077"/>
      <c r="F4" s="1077"/>
      <c r="G4" s="1077" t="s">
        <v>2</v>
      </c>
      <c r="H4" s="1077"/>
      <c r="I4" s="1077"/>
      <c r="J4" s="1077"/>
      <c r="K4" s="1077" t="s">
        <v>3</v>
      </c>
      <c r="L4" s="1077"/>
      <c r="M4" s="1077"/>
      <c r="N4" s="1077"/>
      <c r="O4" s="1077" t="s">
        <v>4</v>
      </c>
      <c r="P4" s="1077"/>
      <c r="Q4" s="1077"/>
      <c r="R4" s="1077"/>
      <c r="S4" s="1077" t="s">
        <v>5</v>
      </c>
      <c r="T4" s="1077"/>
      <c r="U4" s="1077"/>
      <c r="V4" s="1078"/>
      <c r="X4" s="1018">
        <v>1</v>
      </c>
      <c r="Y4" s="1019" t="str">
        <f t="shared" ref="Y4:Y67" si="0">VLOOKUP(X4,$AD$4:$AE$111,2,FALSE)</f>
        <v>더금융 명문</v>
      </c>
      <c r="AD4" s="1">
        <f>IF(AG4="","",COUNTIFS($AG$4:AG4,AG4))</f>
        <v>1</v>
      </c>
      <c r="AE4" s="1017" t="s">
        <v>50</v>
      </c>
      <c r="AF4" s="1015">
        <f t="shared" ref="AF4:AF67" si="1">COUNTIFS($B$3:$V$46,AE4)</f>
        <v>0</v>
      </c>
      <c r="AG4" s="1">
        <f>IF(AF4=0,1,"")</f>
        <v>1</v>
      </c>
    </row>
    <row r="5" spans="2:33" ht="30.75" customHeight="1" thickTop="1" thickBot="1" x14ac:dyDescent="0.35">
      <c r="B5" s="34" t="s">
        <v>28</v>
      </c>
      <c r="C5" s="902">
        <v>2</v>
      </c>
      <c r="D5" s="903" t="s">
        <v>499</v>
      </c>
      <c r="E5" s="903" t="s">
        <v>500</v>
      </c>
      <c r="F5" s="904" t="s">
        <v>501</v>
      </c>
      <c r="G5" s="902">
        <f>C5+1</f>
        <v>3</v>
      </c>
      <c r="H5" s="903" t="s">
        <v>499</v>
      </c>
      <c r="I5" s="903" t="s">
        <v>500</v>
      </c>
      <c r="J5" s="904" t="s">
        <v>501</v>
      </c>
      <c r="K5" s="902">
        <f>G5+1</f>
        <v>4</v>
      </c>
      <c r="L5" s="903" t="s">
        <v>499</v>
      </c>
      <c r="M5" s="903" t="s">
        <v>500</v>
      </c>
      <c r="N5" s="904" t="s">
        <v>501</v>
      </c>
      <c r="O5" s="902">
        <f>K5+1</f>
        <v>5</v>
      </c>
      <c r="P5" s="903" t="s">
        <v>499</v>
      </c>
      <c r="Q5" s="903" t="s">
        <v>500</v>
      </c>
      <c r="R5" s="904" t="s">
        <v>501</v>
      </c>
      <c r="S5" s="902">
        <f>O5+1</f>
        <v>6</v>
      </c>
      <c r="T5" s="903" t="s">
        <v>499</v>
      </c>
      <c r="U5" s="903" t="s">
        <v>500</v>
      </c>
      <c r="V5" s="905" t="s">
        <v>501</v>
      </c>
      <c r="X5" s="1018">
        <v>2</v>
      </c>
      <c r="Y5" s="1019" t="str">
        <f t="shared" si="0"/>
        <v>피플라이프 평택금융</v>
      </c>
      <c r="AD5" s="1" t="str">
        <f>IF(AG5="","",COUNTIFS($AG$4:AG5,AG5))</f>
        <v/>
      </c>
      <c r="AE5" s="1012" t="s">
        <v>151</v>
      </c>
      <c r="AF5" s="1015">
        <f t="shared" si="1"/>
        <v>1</v>
      </c>
      <c r="AG5" s="1" t="str">
        <f t="shared" ref="AG5:AG68" si="2">IF(AF5=0,1,"")</f>
        <v/>
      </c>
    </row>
    <row r="6" spans="2:33" ht="30.75" customHeight="1" thickTop="1" x14ac:dyDescent="0.3">
      <c r="B6" s="1085" t="s">
        <v>9</v>
      </c>
      <c r="C6" s="882">
        <v>0.375</v>
      </c>
      <c r="D6" s="883" t="s">
        <v>227</v>
      </c>
      <c r="E6" s="884"/>
      <c r="F6" s="885"/>
      <c r="G6" s="882">
        <v>0.39583333333333331</v>
      </c>
      <c r="H6" s="883" t="s">
        <v>171</v>
      </c>
      <c r="I6" s="884"/>
      <c r="J6" s="885"/>
      <c r="K6" s="882">
        <v>0.39583333333333331</v>
      </c>
      <c r="L6" s="883" t="s">
        <v>22</v>
      </c>
      <c r="M6" s="884"/>
      <c r="N6" s="885"/>
      <c r="O6" s="882">
        <v>0.375</v>
      </c>
      <c r="P6" s="883" t="s">
        <v>205</v>
      </c>
      <c r="Q6" s="884"/>
      <c r="R6" s="885"/>
      <c r="S6" s="882">
        <v>0.39583333333333331</v>
      </c>
      <c r="T6" s="883" t="s">
        <v>659</v>
      </c>
      <c r="U6" s="884"/>
      <c r="V6" s="886"/>
      <c r="X6" s="1018">
        <v>3</v>
      </c>
      <c r="Y6" s="1019" t="str">
        <f t="shared" si="0"/>
        <v>피플라이프 오산</v>
      </c>
      <c r="AD6" s="1" t="str">
        <f>IF(AG6="","",COUNTIFS($AG$4:AG6,AG6))</f>
        <v/>
      </c>
      <c r="AE6" s="1012" t="s">
        <v>639</v>
      </c>
      <c r="AF6" s="1015">
        <f t="shared" si="1"/>
        <v>1</v>
      </c>
      <c r="AG6" s="1" t="str">
        <f t="shared" si="2"/>
        <v/>
      </c>
    </row>
    <row r="7" spans="2:33" ht="30.75" customHeight="1" x14ac:dyDescent="0.3">
      <c r="B7" s="1085"/>
      <c r="C7" s="887"/>
      <c r="D7" s="888"/>
      <c r="E7" s="889"/>
      <c r="F7" s="890"/>
      <c r="G7" s="1322">
        <v>0.45833333333333331</v>
      </c>
      <c r="H7" s="1323" t="s">
        <v>737</v>
      </c>
      <c r="I7" s="1324"/>
      <c r="J7" s="1325"/>
      <c r="K7" s="906">
        <v>0.4375</v>
      </c>
      <c r="L7" s="888" t="s">
        <v>713</v>
      </c>
      <c r="M7" s="889"/>
      <c r="N7" s="890"/>
      <c r="O7" s="906">
        <v>0.4861111111111111</v>
      </c>
      <c r="P7" s="888" t="s">
        <v>456</v>
      </c>
      <c r="Q7" s="889"/>
      <c r="R7" s="890"/>
      <c r="S7" s="887"/>
      <c r="T7" s="888"/>
      <c r="U7" s="889"/>
      <c r="V7" s="891"/>
      <c r="X7" s="1018">
        <v>4</v>
      </c>
      <c r="Y7" s="1019" t="str">
        <f t="shared" si="0"/>
        <v>한보금 정도</v>
      </c>
      <c r="AD7" s="1" t="str">
        <f>IF(AG7="","",COUNTIFS($AG$4:AG7,AG7))</f>
        <v/>
      </c>
      <c r="AE7" s="1012" t="s">
        <v>399</v>
      </c>
      <c r="AF7" s="1015">
        <f t="shared" si="1"/>
        <v>1</v>
      </c>
      <c r="AG7" s="1" t="str">
        <f t="shared" si="2"/>
        <v/>
      </c>
    </row>
    <row r="8" spans="2:33" ht="30.75" customHeight="1" x14ac:dyDescent="0.3">
      <c r="B8" s="1085"/>
      <c r="C8" s="892"/>
      <c r="D8" s="893"/>
      <c r="E8" s="894"/>
      <c r="F8" s="895"/>
      <c r="G8" s="892"/>
      <c r="H8" s="893"/>
      <c r="I8" s="894"/>
      <c r="J8" s="895"/>
      <c r="K8" s="892"/>
      <c r="L8" s="893"/>
      <c r="M8" s="894"/>
      <c r="N8" s="895"/>
      <c r="O8" s="1063">
        <v>0.58333333333333337</v>
      </c>
      <c r="P8" s="893" t="s">
        <v>424</v>
      </c>
      <c r="Q8" s="894"/>
      <c r="R8" s="895"/>
      <c r="S8" s="892"/>
      <c r="T8" s="893"/>
      <c r="U8" s="894"/>
      <c r="V8" s="896"/>
      <c r="X8" s="1018">
        <v>5</v>
      </c>
      <c r="Y8" s="1019" t="str">
        <f t="shared" si="0"/>
        <v>프라임 화성1</v>
      </c>
      <c r="AD8" s="1" t="str">
        <f>IF(AG8="","",COUNTIFS($AG$4:AG8,AG8))</f>
        <v/>
      </c>
      <c r="AE8" s="1012" t="s">
        <v>264</v>
      </c>
      <c r="AF8" s="1015">
        <f t="shared" si="1"/>
        <v>1</v>
      </c>
      <c r="AG8" s="1" t="str">
        <f t="shared" si="2"/>
        <v/>
      </c>
    </row>
    <row r="9" spans="2:33" ht="42" customHeight="1" x14ac:dyDescent="0.3">
      <c r="B9" s="1086"/>
      <c r="C9" s="1306" t="s">
        <v>732</v>
      </c>
      <c r="D9" s="1307"/>
      <c r="E9" s="1307"/>
      <c r="F9" s="1308"/>
      <c r="G9" s="1312"/>
      <c r="H9" s="1313"/>
      <c r="I9" s="1313"/>
      <c r="J9" s="1319"/>
      <c r="K9" s="1315" t="s">
        <v>735</v>
      </c>
      <c r="L9" s="1247"/>
      <c r="M9" s="1247"/>
      <c r="N9" s="1321"/>
      <c r="O9" s="1315" t="s">
        <v>733</v>
      </c>
      <c r="P9" s="1247"/>
      <c r="Q9" s="1247"/>
      <c r="R9" s="1321"/>
      <c r="S9" s="1312"/>
      <c r="T9" s="1313"/>
      <c r="U9" s="1313"/>
      <c r="V9" s="1313"/>
      <c r="X9" s="1018">
        <f>X8+1</f>
        <v>6</v>
      </c>
      <c r="Y9" s="1019" t="str">
        <f t="shared" si="0"/>
        <v>프라임 평택8</v>
      </c>
      <c r="AD9" s="1" t="str">
        <f>IF(AG9="","",COUNTIFS($AG$4:AG9,AG9))</f>
        <v/>
      </c>
      <c r="AE9" s="1012" t="s">
        <v>152</v>
      </c>
      <c r="AF9" s="1015">
        <f t="shared" si="1"/>
        <v>1</v>
      </c>
      <c r="AG9" s="1" t="str">
        <f t="shared" si="2"/>
        <v/>
      </c>
    </row>
    <row r="10" spans="2:33" ht="30.75" customHeight="1" x14ac:dyDescent="0.3">
      <c r="B10" s="1087" t="s">
        <v>12</v>
      </c>
      <c r="C10" s="65">
        <v>0.39583333333333331</v>
      </c>
      <c r="D10" s="63" t="s">
        <v>80</v>
      </c>
      <c r="E10" s="64"/>
      <c r="F10" s="66"/>
      <c r="G10" s="65">
        <v>0.39583333333333331</v>
      </c>
      <c r="H10" s="63" t="s">
        <v>731</v>
      </c>
      <c r="I10" s="64"/>
      <c r="J10" s="66"/>
      <c r="K10" s="65">
        <v>0.41666666666666669</v>
      </c>
      <c r="L10" s="63" t="s">
        <v>268</v>
      </c>
      <c r="M10" s="64"/>
      <c r="N10" s="66"/>
      <c r="O10" s="65">
        <v>0.39583333333333331</v>
      </c>
      <c r="P10" s="63" t="s">
        <v>149</v>
      </c>
      <c r="Q10" s="64"/>
      <c r="R10" s="66"/>
      <c r="S10" s="65">
        <v>0.39583333333333331</v>
      </c>
      <c r="T10" s="63" t="s">
        <v>215</v>
      </c>
      <c r="U10" s="64"/>
      <c r="V10" s="67"/>
      <c r="X10" s="1018">
        <f t="shared" ref="X10:X73" si="3">X9+1</f>
        <v>7</v>
      </c>
      <c r="Y10" s="1019" t="str">
        <f t="shared" si="0"/>
        <v>프라임 평택3</v>
      </c>
      <c r="AD10" s="1" t="str">
        <f>IF(AG10="","",COUNTIFS($AG$4:AG10,AG10))</f>
        <v/>
      </c>
      <c r="AE10" s="1012" t="s">
        <v>180</v>
      </c>
      <c r="AF10" s="1015">
        <f t="shared" si="1"/>
        <v>1</v>
      </c>
      <c r="AG10" s="1" t="str">
        <f t="shared" si="2"/>
        <v/>
      </c>
    </row>
    <row r="11" spans="2:33" ht="30.75" customHeight="1" x14ac:dyDescent="0.3">
      <c r="B11" s="1088"/>
      <c r="C11" s="72">
        <v>0.45833333333333331</v>
      </c>
      <c r="D11" s="70" t="s">
        <v>79</v>
      </c>
      <c r="E11" s="71"/>
      <c r="F11" s="73"/>
      <c r="G11" s="72"/>
      <c r="H11" s="70"/>
      <c r="I11" s="71"/>
      <c r="J11" s="73"/>
      <c r="K11" s="72">
        <v>0.58333333333333337</v>
      </c>
      <c r="L11" s="70" t="s">
        <v>661</v>
      </c>
      <c r="M11" s="71"/>
      <c r="N11" s="73"/>
      <c r="O11" s="72"/>
      <c r="P11" s="70"/>
      <c r="Q11" s="71"/>
      <c r="R11" s="73"/>
      <c r="S11" s="72">
        <v>0.44444444444444442</v>
      </c>
      <c r="T11" s="70" t="s">
        <v>455</v>
      </c>
      <c r="U11" s="71"/>
      <c r="V11" s="74"/>
      <c r="X11" s="1018">
        <f t="shared" si="3"/>
        <v>8</v>
      </c>
      <c r="Y11" s="1019" t="str">
        <f t="shared" si="0"/>
        <v>프라임 평택1</v>
      </c>
      <c r="AD11" s="1" t="str">
        <f>IF(AG11="","",COUNTIFS($AG$4:AG11,AG11))</f>
        <v/>
      </c>
      <c r="AE11" s="1012" t="s">
        <v>144</v>
      </c>
      <c r="AF11" s="1015">
        <f t="shared" si="1"/>
        <v>1</v>
      </c>
      <c r="AG11" s="1" t="str">
        <f t="shared" si="2"/>
        <v/>
      </c>
    </row>
    <row r="12" spans="2:33" ht="30.75" customHeight="1" x14ac:dyDescent="0.3">
      <c r="B12" s="18" t="s">
        <v>13</v>
      </c>
      <c r="C12" s="897"/>
      <c r="D12" s="898"/>
      <c r="E12" s="899"/>
      <c r="F12" s="900"/>
      <c r="G12" s="897"/>
      <c r="H12" s="898"/>
      <c r="I12" s="899"/>
      <c r="J12" s="900"/>
      <c r="K12" s="897"/>
      <c r="L12" s="898"/>
      <c r="M12" s="899"/>
      <c r="N12" s="900"/>
      <c r="O12" s="897"/>
      <c r="P12" s="898"/>
      <c r="Q12" s="899"/>
      <c r="R12" s="900"/>
      <c r="S12" s="907"/>
      <c r="T12" s="898"/>
      <c r="U12" s="899"/>
      <c r="V12" s="901"/>
      <c r="X12" s="1018">
        <f t="shared" si="3"/>
        <v>9</v>
      </c>
      <c r="Y12" s="1019" t="str">
        <f t="shared" si="0"/>
        <v>GAK 해피오산</v>
      </c>
      <c r="AD12" s="1" t="str">
        <f>IF(AG12="","",COUNTIFS($AG$4:AG12,AG12))</f>
        <v/>
      </c>
      <c r="AE12" s="1012" t="s">
        <v>261</v>
      </c>
      <c r="AF12" s="1015">
        <f t="shared" si="1"/>
        <v>1</v>
      </c>
      <c r="AG12" s="1" t="str">
        <f t="shared" si="2"/>
        <v/>
      </c>
    </row>
    <row r="13" spans="2:33" ht="30.75" customHeight="1" thickBot="1" x14ac:dyDescent="0.35">
      <c r="B13" s="35" t="s">
        <v>29</v>
      </c>
      <c r="C13" s="916">
        <f>S5+3</f>
        <v>9</v>
      </c>
      <c r="D13" s="903" t="s">
        <v>499</v>
      </c>
      <c r="E13" s="903" t="s">
        <v>500</v>
      </c>
      <c r="F13" s="917" t="s">
        <v>501</v>
      </c>
      <c r="G13" s="902">
        <f>C13+1</f>
        <v>10</v>
      </c>
      <c r="H13" s="903" t="s">
        <v>499</v>
      </c>
      <c r="I13" s="903" t="s">
        <v>500</v>
      </c>
      <c r="J13" s="904" t="s">
        <v>501</v>
      </c>
      <c r="K13" s="902">
        <f>G13+1</f>
        <v>11</v>
      </c>
      <c r="L13" s="903" t="s">
        <v>499</v>
      </c>
      <c r="M13" s="903" t="s">
        <v>500</v>
      </c>
      <c r="N13" s="904" t="s">
        <v>501</v>
      </c>
      <c r="O13" s="902">
        <f>K13+1</f>
        <v>12</v>
      </c>
      <c r="P13" s="903" t="s">
        <v>499</v>
      </c>
      <c r="Q13" s="903" t="s">
        <v>500</v>
      </c>
      <c r="R13" s="904" t="s">
        <v>501</v>
      </c>
      <c r="S13" s="902">
        <f>O13+1</f>
        <v>13</v>
      </c>
      <c r="T13" s="903" t="s">
        <v>499</v>
      </c>
      <c r="U13" s="903" t="s">
        <v>500</v>
      </c>
      <c r="V13" s="905" t="s">
        <v>501</v>
      </c>
      <c r="X13" s="1018">
        <f t="shared" si="3"/>
        <v>10</v>
      </c>
      <c r="Y13" s="1019" t="str">
        <f t="shared" si="0"/>
        <v>GA스타 위드라이프코어</v>
      </c>
      <c r="AD13" s="1" t="str">
        <f>IF(AG13="","",COUNTIFS($AG$4:AG13,AG13))</f>
        <v/>
      </c>
      <c r="AE13" s="1012" t="s">
        <v>213</v>
      </c>
      <c r="AF13" s="1015">
        <f t="shared" si="1"/>
        <v>1</v>
      </c>
      <c r="AG13" s="1" t="str">
        <f t="shared" si="2"/>
        <v/>
      </c>
    </row>
    <row r="14" spans="2:33" ht="30.75" customHeight="1" thickTop="1" x14ac:dyDescent="0.3">
      <c r="B14" s="1085" t="s">
        <v>9</v>
      </c>
      <c r="C14" s="908">
        <v>0.375</v>
      </c>
      <c r="D14" s="883" t="s">
        <v>284</v>
      </c>
      <c r="E14" s="884"/>
      <c r="F14" s="909"/>
      <c r="G14" s="882">
        <v>0.39583333333333331</v>
      </c>
      <c r="H14" s="883" t="s">
        <v>738</v>
      </c>
      <c r="I14" s="884"/>
      <c r="J14" s="885"/>
      <c r="K14" s="882">
        <v>0.375</v>
      </c>
      <c r="L14" s="883" t="s">
        <v>283</v>
      </c>
      <c r="M14" s="884"/>
      <c r="N14" s="885"/>
      <c r="O14" s="882">
        <v>0.375</v>
      </c>
      <c r="P14" s="883" t="s">
        <v>47</v>
      </c>
      <c r="Q14" s="884"/>
      <c r="R14" s="885"/>
      <c r="S14" s="882">
        <v>0.39583333333333331</v>
      </c>
      <c r="T14" s="883" t="s">
        <v>208</v>
      </c>
      <c r="U14" s="884"/>
      <c r="V14" s="886"/>
      <c r="X14" s="1018">
        <f t="shared" si="3"/>
        <v>11</v>
      </c>
      <c r="Y14" s="1019" t="str">
        <f t="shared" si="0"/>
        <v>인슈프라자 인천</v>
      </c>
      <c r="AD14" s="1" t="str">
        <f>IF(AG14="","",COUNTIFS($AG$4:AG14,AG14))</f>
        <v/>
      </c>
      <c r="AE14" s="1012" t="s">
        <v>263</v>
      </c>
      <c r="AF14" s="1015">
        <f t="shared" si="1"/>
        <v>1</v>
      </c>
      <c r="AG14" s="1" t="str">
        <f t="shared" si="2"/>
        <v/>
      </c>
    </row>
    <row r="15" spans="2:33" ht="30.75" customHeight="1" x14ac:dyDescent="0.3">
      <c r="B15" s="1085"/>
      <c r="C15" s="1064">
        <v>0.41666666666666669</v>
      </c>
      <c r="D15" s="888" t="s">
        <v>361</v>
      </c>
      <c r="E15" s="889"/>
      <c r="F15" s="911"/>
      <c r="G15" s="906">
        <v>0.54166666666666663</v>
      </c>
      <c r="H15" s="888" t="s">
        <v>656</v>
      </c>
      <c r="I15" s="889"/>
      <c r="J15" s="890"/>
      <c r="K15" s="906">
        <v>0.45833333333333331</v>
      </c>
      <c r="L15" s="888" t="s">
        <v>69</v>
      </c>
      <c r="M15" s="889"/>
      <c r="N15" s="890"/>
      <c r="O15" s="906">
        <v>0.46527777777777779</v>
      </c>
      <c r="P15" s="888" t="s">
        <v>660</v>
      </c>
      <c r="Q15" s="889"/>
      <c r="R15" s="890"/>
      <c r="S15" s="887"/>
      <c r="T15" s="888"/>
      <c r="U15" s="889"/>
      <c r="V15" s="891"/>
      <c r="X15" s="1018">
        <f t="shared" si="3"/>
        <v>12</v>
      </c>
      <c r="Y15" s="1019" t="str">
        <f t="shared" si="0"/>
        <v>삼금파 병점</v>
      </c>
      <c r="AD15" s="1" t="str">
        <f>IF(AG15="","",COUNTIFS($AG$4:AG15,AG15))</f>
        <v/>
      </c>
      <c r="AE15" s="1012" t="s">
        <v>265</v>
      </c>
      <c r="AF15" s="1015">
        <f t="shared" si="1"/>
        <v>1</v>
      </c>
      <c r="AG15" s="1" t="str">
        <f t="shared" si="2"/>
        <v/>
      </c>
    </row>
    <row r="16" spans="2:33" ht="30.75" customHeight="1" x14ac:dyDescent="0.3">
      <c r="B16" s="1085"/>
      <c r="C16" s="912"/>
      <c r="D16" s="893"/>
      <c r="E16" s="894"/>
      <c r="F16" s="913"/>
      <c r="G16" s="892"/>
      <c r="H16" s="893"/>
      <c r="I16" s="894"/>
      <c r="J16" s="895"/>
      <c r="K16" s="1063">
        <v>0.625</v>
      </c>
      <c r="L16" s="893" t="s">
        <v>106</v>
      </c>
      <c r="M16" s="894"/>
      <c r="N16" s="895"/>
      <c r="O16" s="892"/>
      <c r="P16" s="893"/>
      <c r="Q16" s="894"/>
      <c r="R16" s="895"/>
      <c r="S16" s="892"/>
      <c r="T16" s="893"/>
      <c r="U16" s="894"/>
      <c r="V16" s="896"/>
      <c r="X16" s="1018">
        <f t="shared" si="3"/>
        <v>13</v>
      </c>
      <c r="Y16" s="1019" t="str">
        <f t="shared" si="0"/>
        <v>인카 다이렉트비전</v>
      </c>
      <c r="AD16" s="1" t="str">
        <f>IF(AG16="","",COUNTIFS($AG$4:AG16,AG16))</f>
        <v/>
      </c>
      <c r="AE16" s="1012" t="s">
        <v>283</v>
      </c>
      <c r="AF16" s="1015">
        <f t="shared" si="1"/>
        <v>1</v>
      </c>
      <c r="AG16" s="1" t="str">
        <f t="shared" si="2"/>
        <v/>
      </c>
    </row>
    <row r="17" spans="2:33" ht="42" customHeight="1" x14ac:dyDescent="0.3">
      <c r="B17" s="1086"/>
      <c r="C17" s="1320"/>
      <c r="D17" s="1313"/>
      <c r="E17" s="1313"/>
      <c r="F17" s="1319"/>
      <c r="G17" s="1312"/>
      <c r="H17" s="1313"/>
      <c r="I17" s="1313"/>
      <c r="J17" s="1319"/>
      <c r="K17" s="1312"/>
      <c r="L17" s="1313"/>
      <c r="M17" s="1313"/>
      <c r="N17" s="1319"/>
      <c r="O17" s="1312"/>
      <c r="P17" s="1313"/>
      <c r="Q17" s="1313"/>
      <c r="R17" s="1319"/>
      <c r="S17" s="1312"/>
      <c r="T17" s="1313"/>
      <c r="U17" s="1313"/>
      <c r="V17" s="1313"/>
      <c r="X17" s="1018">
        <f t="shared" si="3"/>
        <v>14</v>
      </c>
      <c r="Y17" s="1019" t="str">
        <f t="shared" si="0"/>
        <v>인카 가온누리</v>
      </c>
      <c r="AD17" s="1" t="str">
        <f>IF(AG17="","",COUNTIFS($AG$4:AG17,AG17))</f>
        <v/>
      </c>
      <c r="AE17" s="1012" t="s">
        <v>284</v>
      </c>
      <c r="AF17" s="1015">
        <f t="shared" si="1"/>
        <v>2</v>
      </c>
      <c r="AG17" s="1" t="str">
        <f t="shared" si="2"/>
        <v/>
      </c>
    </row>
    <row r="18" spans="2:33" ht="30.75" customHeight="1" x14ac:dyDescent="0.3">
      <c r="B18" s="1079" t="s">
        <v>12</v>
      </c>
      <c r="C18" s="62">
        <v>0.39583333333333331</v>
      </c>
      <c r="D18" s="63" t="s">
        <v>184</v>
      </c>
      <c r="E18" s="64"/>
      <c r="F18" s="61"/>
      <c r="G18" s="65">
        <v>0.39583333333333331</v>
      </c>
      <c r="H18" s="63" t="s">
        <v>213</v>
      </c>
      <c r="I18" s="64"/>
      <c r="J18" s="66"/>
      <c r="K18" s="65">
        <v>0.39583333333333331</v>
      </c>
      <c r="L18" s="63" t="s">
        <v>321</v>
      </c>
      <c r="M18" s="64"/>
      <c r="N18" s="66"/>
      <c r="O18" s="65">
        <v>0.39583333333333331</v>
      </c>
      <c r="P18" s="63" t="s">
        <v>153</v>
      </c>
      <c r="Q18" s="64"/>
      <c r="R18" s="66"/>
      <c r="S18" s="65">
        <v>0.39583333333333331</v>
      </c>
      <c r="T18" s="63" t="s">
        <v>150</v>
      </c>
      <c r="U18" s="64"/>
      <c r="V18" s="67"/>
      <c r="X18" s="1018">
        <f t="shared" si="3"/>
        <v>15</v>
      </c>
      <c r="Y18" s="1019" t="str">
        <f t="shared" si="0"/>
        <v>인카 이든</v>
      </c>
      <c r="AD18" s="1" t="str">
        <f>IF(AG18="","",COUNTIFS($AG$4:AG18,AG18))</f>
        <v/>
      </c>
      <c r="AE18" s="1012" t="s">
        <v>654</v>
      </c>
      <c r="AF18" s="1015">
        <f t="shared" si="1"/>
        <v>1</v>
      </c>
      <c r="AG18" s="1" t="str">
        <f t="shared" si="2"/>
        <v/>
      </c>
    </row>
    <row r="19" spans="2:33" ht="30.75" customHeight="1" x14ac:dyDescent="0.3">
      <c r="B19" s="1080"/>
      <c r="C19" s="69"/>
      <c r="D19" s="70"/>
      <c r="E19" s="71"/>
      <c r="F19" s="68"/>
      <c r="G19" s="72"/>
      <c r="H19" s="70"/>
      <c r="I19" s="71"/>
      <c r="J19" s="73"/>
      <c r="K19" s="72">
        <v>0.45833333333333331</v>
      </c>
      <c r="L19" s="70" t="s">
        <v>170</v>
      </c>
      <c r="M19" s="71"/>
      <c r="N19" s="73"/>
      <c r="O19" s="72"/>
      <c r="P19" s="70"/>
      <c r="Q19" s="71"/>
      <c r="R19" s="73"/>
      <c r="S19" s="72"/>
      <c r="T19" s="70"/>
      <c r="U19" s="71"/>
      <c r="V19" s="74"/>
      <c r="X19" s="1018">
        <f t="shared" si="3"/>
        <v>16</v>
      </c>
      <c r="Y19" s="1019" t="str">
        <f t="shared" si="0"/>
        <v>인카 스마트평택</v>
      </c>
      <c r="AD19" s="1" t="str">
        <f>IF(AG19="","",COUNTIFS($AG$4:AG19,AG19))</f>
        <v/>
      </c>
      <c r="AE19" s="1012" t="s">
        <v>361</v>
      </c>
      <c r="AF19" s="1015">
        <f t="shared" si="1"/>
        <v>1</v>
      </c>
      <c r="AG19" s="1" t="str">
        <f t="shared" si="2"/>
        <v/>
      </c>
    </row>
    <row r="20" spans="2:33" ht="30.75" customHeight="1" x14ac:dyDescent="0.3">
      <c r="B20" s="9" t="s">
        <v>13</v>
      </c>
      <c r="C20" s="914"/>
      <c r="D20" s="898"/>
      <c r="E20" s="899"/>
      <c r="F20" s="915"/>
      <c r="G20" s="897"/>
      <c r="H20" s="898"/>
      <c r="I20" s="899"/>
      <c r="J20" s="900"/>
      <c r="K20" s="897"/>
      <c r="L20" s="898"/>
      <c r="M20" s="899"/>
      <c r="N20" s="900"/>
      <c r="O20" s="897"/>
      <c r="P20" s="898"/>
      <c r="Q20" s="899"/>
      <c r="R20" s="900"/>
      <c r="S20" s="907"/>
      <c r="T20" s="898"/>
      <c r="U20" s="899"/>
      <c r="V20" s="901"/>
      <c r="X20" s="1018">
        <f t="shared" si="3"/>
        <v>17</v>
      </c>
      <c r="Y20" s="1019" t="str">
        <f t="shared" si="0"/>
        <v>인카 경기남부</v>
      </c>
      <c r="AD20" s="1" t="str">
        <f>IF(AG20="","",COUNTIFS($AG$4:AG20,AG20))</f>
        <v/>
      </c>
      <c r="AE20" s="1012" t="s">
        <v>384</v>
      </c>
      <c r="AF20" s="1015">
        <f t="shared" si="1"/>
        <v>1</v>
      </c>
      <c r="AG20" s="1" t="str">
        <f t="shared" si="2"/>
        <v/>
      </c>
    </row>
    <row r="21" spans="2:33" ht="30.75" customHeight="1" thickBot="1" x14ac:dyDescent="0.35">
      <c r="B21" s="35" t="s">
        <v>30</v>
      </c>
      <c r="C21" s="916">
        <f>S13+3</f>
        <v>16</v>
      </c>
      <c r="D21" s="903" t="s">
        <v>499</v>
      </c>
      <c r="E21" s="903" t="s">
        <v>500</v>
      </c>
      <c r="F21" s="917" t="s">
        <v>501</v>
      </c>
      <c r="G21" s="902">
        <f>C21+1</f>
        <v>17</v>
      </c>
      <c r="H21" s="903" t="s">
        <v>499</v>
      </c>
      <c r="I21" s="903" t="s">
        <v>500</v>
      </c>
      <c r="J21" s="904" t="s">
        <v>501</v>
      </c>
      <c r="K21" s="902">
        <f>G21+1</f>
        <v>18</v>
      </c>
      <c r="L21" s="903" t="s">
        <v>499</v>
      </c>
      <c r="M21" s="903" t="s">
        <v>500</v>
      </c>
      <c r="N21" s="904" t="s">
        <v>501</v>
      </c>
      <c r="O21" s="902">
        <f>K21+1</f>
        <v>19</v>
      </c>
      <c r="P21" s="903" t="s">
        <v>6</v>
      </c>
      <c r="Q21" s="903" t="s">
        <v>500</v>
      </c>
      <c r="R21" s="904" t="s">
        <v>501</v>
      </c>
      <c r="S21" s="902">
        <f>O21+1</f>
        <v>20</v>
      </c>
      <c r="T21" s="903" t="s">
        <v>499</v>
      </c>
      <c r="U21" s="903" t="s">
        <v>500</v>
      </c>
      <c r="V21" s="905" t="s">
        <v>501</v>
      </c>
      <c r="X21" s="1018">
        <f t="shared" si="3"/>
        <v>18</v>
      </c>
      <c r="Y21" s="1019" t="str">
        <f t="shared" si="0"/>
        <v>메타리치 하이리치</v>
      </c>
      <c r="AD21" s="1">
        <f>IF(AG21="","",COUNTIFS($AG$4:AG21,AG21))</f>
        <v>2</v>
      </c>
      <c r="AE21" s="1013" t="s">
        <v>621</v>
      </c>
      <c r="AF21" s="1015">
        <f t="shared" si="1"/>
        <v>0</v>
      </c>
      <c r="AG21" s="1">
        <f t="shared" si="2"/>
        <v>1</v>
      </c>
    </row>
    <row r="22" spans="2:33" ht="30.75" customHeight="1" thickTop="1" x14ac:dyDescent="0.3">
      <c r="B22" s="1085" t="s">
        <v>9</v>
      </c>
      <c r="C22" s="908">
        <v>0.39583333333333331</v>
      </c>
      <c r="D22" s="883" t="s">
        <v>151</v>
      </c>
      <c r="E22" s="884"/>
      <c r="F22" s="909"/>
      <c r="G22" s="882">
        <v>0.375</v>
      </c>
      <c r="H22" s="883" t="s">
        <v>384</v>
      </c>
      <c r="I22" s="884"/>
      <c r="J22" s="885"/>
      <c r="K22" s="882">
        <v>0.39583333333333331</v>
      </c>
      <c r="L22" s="883" t="s">
        <v>637</v>
      </c>
      <c r="M22" s="884"/>
      <c r="N22" s="885"/>
      <c r="O22" s="882">
        <v>0.375</v>
      </c>
      <c r="P22" s="883" t="s">
        <v>491</v>
      </c>
      <c r="Q22" s="884"/>
      <c r="R22" s="885"/>
      <c r="S22" s="882">
        <v>0.39583333333333331</v>
      </c>
      <c r="T22" s="883" t="s">
        <v>141</v>
      </c>
      <c r="U22" s="884"/>
      <c r="V22" s="886"/>
      <c r="X22" s="1018">
        <f t="shared" si="3"/>
        <v>19</v>
      </c>
      <c r="Y22" s="1019" t="str">
        <f t="shared" si="0"/>
        <v>더베스트 이재명 평택</v>
      </c>
      <c r="AD22" s="1" t="str">
        <f>IF(AG22="","",COUNTIFS($AG$4:AG22,AG22))</f>
        <v/>
      </c>
      <c r="AE22" s="1013" t="s">
        <v>205</v>
      </c>
      <c r="AF22" s="1015">
        <f t="shared" si="1"/>
        <v>1</v>
      </c>
      <c r="AG22" s="1" t="str">
        <f t="shared" si="2"/>
        <v/>
      </c>
    </row>
    <row r="23" spans="2:33" ht="30.75" customHeight="1" x14ac:dyDescent="0.3">
      <c r="B23" s="1085"/>
      <c r="C23" s="1064">
        <v>0.54166666666666663</v>
      </c>
      <c r="D23" s="888" t="s">
        <v>655</v>
      </c>
      <c r="E23" s="889"/>
      <c r="F23" s="911"/>
      <c r="G23" s="906">
        <v>0.39583333333333331</v>
      </c>
      <c r="H23" s="888" t="s">
        <v>740</v>
      </c>
      <c r="I23" s="889"/>
      <c r="J23" s="890"/>
      <c r="K23" s="906">
        <v>0.46527777777777779</v>
      </c>
      <c r="L23" s="888" t="s">
        <v>241</v>
      </c>
      <c r="M23" s="889"/>
      <c r="N23" s="890"/>
      <c r="O23" s="906">
        <v>0.4375</v>
      </c>
      <c r="P23" s="888" t="s">
        <v>433</v>
      </c>
      <c r="Q23" s="889"/>
      <c r="R23" s="890"/>
      <c r="S23" s="887"/>
      <c r="T23" s="888"/>
      <c r="U23" s="889"/>
      <c r="V23" s="891"/>
      <c r="X23" s="1018">
        <f t="shared" si="3"/>
        <v>20</v>
      </c>
      <c r="Y23" s="1019" t="str">
        <f t="shared" si="0"/>
        <v>더베스트 이재명 수원</v>
      </c>
      <c r="AD23" s="1">
        <f>IF(AG23="","",COUNTIFS($AG$4:AG23,AG23))</f>
        <v>3</v>
      </c>
      <c r="AE23" s="1013" t="s">
        <v>140</v>
      </c>
      <c r="AF23" s="1015">
        <f t="shared" si="1"/>
        <v>0</v>
      </c>
      <c r="AG23" s="1">
        <f t="shared" si="2"/>
        <v>1</v>
      </c>
    </row>
    <row r="24" spans="2:33" ht="30.75" customHeight="1" x14ac:dyDescent="0.3">
      <c r="B24" s="1085"/>
      <c r="C24" s="912"/>
      <c r="D24" s="893"/>
      <c r="E24" s="894"/>
      <c r="F24" s="913"/>
      <c r="G24" s="892"/>
      <c r="H24" s="893"/>
      <c r="I24" s="894"/>
      <c r="J24" s="895"/>
      <c r="K24" s="892"/>
      <c r="L24" s="893"/>
      <c r="M24" s="894"/>
      <c r="N24" s="895"/>
      <c r="O24" s="892"/>
      <c r="P24" s="893"/>
      <c r="Q24" s="894"/>
      <c r="R24" s="895"/>
      <c r="S24" s="892"/>
      <c r="T24" s="893"/>
      <c r="U24" s="894"/>
      <c r="V24" s="896"/>
      <c r="X24" s="1018">
        <f t="shared" si="3"/>
        <v>21</v>
      </c>
      <c r="Y24" s="1019" t="str">
        <f t="shared" si="0"/>
        <v>더베스트 이재명 당진</v>
      </c>
      <c r="AD24" s="1">
        <f>IF(AG24="","",COUNTIFS($AG$4:AG24,AG24))</f>
        <v>4</v>
      </c>
      <c r="AE24" s="1012" t="s">
        <v>95</v>
      </c>
      <c r="AF24" s="1015">
        <f t="shared" si="1"/>
        <v>0</v>
      </c>
      <c r="AG24" s="1">
        <f t="shared" si="2"/>
        <v>1</v>
      </c>
    </row>
    <row r="25" spans="2:33" ht="42" customHeight="1" x14ac:dyDescent="0.3">
      <c r="B25" s="1086"/>
      <c r="C25" s="1315" t="s">
        <v>736</v>
      </c>
      <c r="D25" s="1247"/>
      <c r="E25" s="1247"/>
      <c r="F25" s="1321"/>
      <c r="G25" s="1315" t="s">
        <v>734</v>
      </c>
      <c r="H25" s="1247"/>
      <c r="I25" s="1247"/>
      <c r="J25" s="1321"/>
      <c r="K25" s="1312"/>
      <c r="L25" s="1313"/>
      <c r="M25" s="1313"/>
      <c r="N25" s="1319"/>
      <c r="O25" s="1312"/>
      <c r="P25" s="1313"/>
      <c r="Q25" s="1313"/>
      <c r="R25" s="1319"/>
      <c r="S25" s="1312"/>
      <c r="T25" s="1313"/>
      <c r="U25" s="1313"/>
      <c r="V25" s="1313"/>
      <c r="X25" s="1018">
        <f t="shared" si="3"/>
        <v>22</v>
      </c>
      <c r="Y25" s="1019" t="str">
        <f t="shared" si="0"/>
        <v>더베스트 김효제 오산</v>
      </c>
      <c r="AD25" s="1" t="str">
        <f>IF(AG25="","",COUNTIFS($AG$4:AG25,AG25))</f>
        <v/>
      </c>
      <c r="AE25" s="1014" t="s">
        <v>655</v>
      </c>
      <c r="AF25" s="1015">
        <f t="shared" si="1"/>
        <v>1</v>
      </c>
      <c r="AG25" s="1" t="str">
        <f t="shared" si="2"/>
        <v/>
      </c>
    </row>
    <row r="26" spans="2:33" ht="30.75" customHeight="1" x14ac:dyDescent="0.3">
      <c r="B26" s="1079" t="s">
        <v>12</v>
      </c>
      <c r="C26" s="62">
        <v>0.39583333333333331</v>
      </c>
      <c r="D26" s="63" t="s">
        <v>209</v>
      </c>
      <c r="E26" s="64"/>
      <c r="F26" s="61"/>
      <c r="G26" s="65">
        <v>0.375</v>
      </c>
      <c r="H26" s="63" t="s">
        <v>654</v>
      </c>
      <c r="I26" s="64"/>
      <c r="J26" s="66"/>
      <c r="K26" s="65">
        <v>0.375</v>
      </c>
      <c r="L26" s="63" t="s">
        <v>468</v>
      </c>
      <c r="M26" s="64"/>
      <c r="N26" s="66"/>
      <c r="O26" s="65">
        <v>0.38541666666666669</v>
      </c>
      <c r="P26" s="63" t="s">
        <v>94</v>
      </c>
      <c r="Q26" s="64"/>
      <c r="R26" s="66"/>
      <c r="S26" s="65">
        <v>0.39583333333333331</v>
      </c>
      <c r="T26" s="63" t="s">
        <v>449</v>
      </c>
      <c r="U26" s="64"/>
      <c r="V26" s="67"/>
      <c r="X26" s="1018">
        <f t="shared" si="3"/>
        <v>23</v>
      </c>
      <c r="Y26" s="1019" t="str">
        <f t="shared" si="0"/>
        <v>더베스트 김효제 서수원</v>
      </c>
      <c r="AD26" s="1" t="str">
        <f>IF(AG26="","",COUNTIFS($AG$4:AG26,AG26))</f>
        <v/>
      </c>
      <c r="AE26" s="1014" t="s">
        <v>656</v>
      </c>
      <c r="AF26" s="1015">
        <f t="shared" si="1"/>
        <v>1</v>
      </c>
      <c r="AG26" s="1" t="str">
        <f t="shared" si="2"/>
        <v/>
      </c>
    </row>
    <row r="27" spans="2:33" ht="30.75" customHeight="1" x14ac:dyDescent="0.3">
      <c r="B27" s="1080"/>
      <c r="C27" s="69"/>
      <c r="D27" s="70"/>
      <c r="E27" s="71"/>
      <c r="F27" s="68"/>
      <c r="G27" s="72"/>
      <c r="H27" s="70"/>
      <c r="I27" s="71"/>
      <c r="J27" s="73"/>
      <c r="K27" s="72">
        <v>0.41666666666666669</v>
      </c>
      <c r="L27" s="70" t="s">
        <v>164</v>
      </c>
      <c r="M27" s="71"/>
      <c r="N27" s="73"/>
      <c r="O27" s="72">
        <v>0.4375</v>
      </c>
      <c r="P27" s="70" t="s">
        <v>41</v>
      </c>
      <c r="Q27" s="71"/>
      <c r="R27" s="73"/>
      <c r="S27" s="72"/>
      <c r="T27" s="70"/>
      <c r="U27" s="71"/>
      <c r="V27" s="74"/>
      <c r="X27" s="1018">
        <f t="shared" si="3"/>
        <v>24</v>
      </c>
      <c r="Y27" s="1019" t="str">
        <f t="shared" si="0"/>
        <v>더베스트 김효제 경기프리미엄</v>
      </c>
      <c r="AD27" s="1">
        <f>IF(AG27="","",COUNTIFS($AG$4:AG27,AG27))</f>
        <v>5</v>
      </c>
      <c r="AE27" s="1014" t="s">
        <v>657</v>
      </c>
      <c r="AF27" s="1015">
        <f t="shared" si="1"/>
        <v>0</v>
      </c>
      <c r="AG27" s="1">
        <f t="shared" si="2"/>
        <v>1</v>
      </c>
    </row>
    <row r="28" spans="2:33" ht="30.75" customHeight="1" x14ac:dyDescent="0.3">
      <c r="B28" s="9" t="s">
        <v>13</v>
      </c>
      <c r="C28" s="914"/>
      <c r="D28" s="898"/>
      <c r="E28" s="899"/>
      <c r="F28" s="915"/>
      <c r="G28" s="897"/>
      <c r="H28" s="898"/>
      <c r="I28" s="899"/>
      <c r="J28" s="900"/>
      <c r="K28" s="897"/>
      <c r="L28" s="898"/>
      <c r="M28" s="899"/>
      <c r="N28" s="900"/>
      <c r="O28" s="897"/>
      <c r="P28" s="898"/>
      <c r="Q28" s="899"/>
      <c r="R28" s="900"/>
      <c r="S28" s="907"/>
      <c r="T28" s="898"/>
      <c r="U28" s="899"/>
      <c r="V28" s="901"/>
      <c r="X28" s="1018">
        <f t="shared" si="3"/>
        <v>25</v>
      </c>
      <c r="Y28" s="1019" t="str">
        <f t="shared" si="0"/>
        <v>더베스트 김효제 경기VIP</v>
      </c>
      <c r="AD28" s="1">
        <f>IF(AG28="","",COUNTIFS($AG$4:AG28,AG28))</f>
        <v>6</v>
      </c>
      <c r="AE28" s="1012" t="s">
        <v>238</v>
      </c>
      <c r="AF28" s="1015">
        <f t="shared" si="1"/>
        <v>0</v>
      </c>
      <c r="AG28" s="1">
        <f t="shared" si="2"/>
        <v>1</v>
      </c>
    </row>
    <row r="29" spans="2:33" ht="30.75" customHeight="1" thickBot="1" x14ac:dyDescent="0.35">
      <c r="B29" s="35" t="s">
        <v>31</v>
      </c>
      <c r="C29" s="916">
        <f>S21+3</f>
        <v>23</v>
      </c>
      <c r="D29" s="903" t="s">
        <v>499</v>
      </c>
      <c r="E29" s="903" t="s">
        <v>500</v>
      </c>
      <c r="F29" s="917" t="s">
        <v>501</v>
      </c>
      <c r="G29" s="902">
        <f>C29+1</f>
        <v>24</v>
      </c>
      <c r="H29" s="903" t="s">
        <v>499</v>
      </c>
      <c r="I29" s="903" t="s">
        <v>500</v>
      </c>
      <c r="J29" s="904" t="s">
        <v>501</v>
      </c>
      <c r="K29" s="902">
        <f>G29+1</f>
        <v>25</v>
      </c>
      <c r="L29" s="903" t="s">
        <v>499</v>
      </c>
      <c r="M29" s="903" t="s">
        <v>500</v>
      </c>
      <c r="N29" s="904" t="s">
        <v>501</v>
      </c>
      <c r="O29" s="902">
        <f>K29+1</f>
        <v>26</v>
      </c>
      <c r="P29" s="903" t="s">
        <v>499</v>
      </c>
      <c r="Q29" s="903" t="s">
        <v>500</v>
      </c>
      <c r="R29" s="904" t="s">
        <v>501</v>
      </c>
      <c r="S29" s="902">
        <f>O29+1</f>
        <v>27</v>
      </c>
      <c r="T29" s="903" t="s">
        <v>499</v>
      </c>
      <c r="U29" s="903" t="s">
        <v>500</v>
      </c>
      <c r="V29" s="905" t="s">
        <v>501</v>
      </c>
      <c r="X29" s="1018">
        <f t="shared" si="3"/>
        <v>26</v>
      </c>
      <c r="Y29" s="1019" t="str">
        <f t="shared" si="0"/>
        <v>엠금융 프레시어스</v>
      </c>
      <c r="AD29" s="1">
        <f>IF(AG29="","",COUNTIFS($AG$4:AG29,AG29))</f>
        <v>7</v>
      </c>
      <c r="AE29" s="1012" t="s">
        <v>294</v>
      </c>
      <c r="AF29" s="1015">
        <f t="shared" si="1"/>
        <v>0</v>
      </c>
      <c r="AG29" s="1">
        <f t="shared" si="2"/>
        <v>1</v>
      </c>
    </row>
    <row r="30" spans="2:33" ht="30.75" customHeight="1" thickTop="1" x14ac:dyDescent="0.3">
      <c r="B30" s="1085" t="s">
        <v>9</v>
      </c>
      <c r="C30" s="908">
        <v>0.43055555555555558</v>
      </c>
      <c r="D30" s="883" t="s">
        <v>729</v>
      </c>
      <c r="E30" s="884"/>
      <c r="F30" s="909"/>
      <c r="G30" s="882">
        <v>0.39583333333333331</v>
      </c>
      <c r="H30" s="883" t="s">
        <v>458</v>
      </c>
      <c r="I30" s="884"/>
      <c r="J30" s="885"/>
      <c r="K30" s="882">
        <v>0.39583333333333331</v>
      </c>
      <c r="L30" s="883" t="s">
        <v>154</v>
      </c>
      <c r="M30" s="884"/>
      <c r="N30" s="885"/>
      <c r="O30" s="882">
        <v>0.39583333333333331</v>
      </c>
      <c r="P30" s="883" t="s">
        <v>174</v>
      </c>
      <c r="Q30" s="884"/>
      <c r="R30" s="885"/>
      <c r="S30" s="882">
        <v>0.375</v>
      </c>
      <c r="T30" s="883" t="s">
        <v>284</v>
      </c>
      <c r="U30" s="884"/>
      <c r="V30" s="886"/>
      <c r="X30" s="1018">
        <f t="shared" si="3"/>
        <v>27</v>
      </c>
      <c r="Y30" s="1019" t="str">
        <f t="shared" si="0"/>
        <v>엠금융 더클래스</v>
      </c>
      <c r="AD30" s="1">
        <f>IF(AG30="","",COUNTIFS($AG$4:AG30,AG30))</f>
        <v>8</v>
      </c>
      <c r="AE30" s="1012" t="s">
        <v>658</v>
      </c>
      <c r="AF30" s="1015">
        <f t="shared" si="1"/>
        <v>0</v>
      </c>
      <c r="AG30" s="1">
        <f t="shared" si="2"/>
        <v>1</v>
      </c>
    </row>
    <row r="31" spans="2:33" ht="30.75" customHeight="1" x14ac:dyDescent="0.3">
      <c r="B31" s="1085"/>
      <c r="C31" s="910"/>
      <c r="D31" s="888"/>
      <c r="E31" s="889"/>
      <c r="F31" s="911"/>
      <c r="G31" s="887"/>
      <c r="H31" s="888"/>
      <c r="I31" s="889"/>
      <c r="J31" s="890"/>
      <c r="K31" s="906"/>
      <c r="L31" s="888"/>
      <c r="M31" s="889"/>
      <c r="N31" s="890"/>
      <c r="O31" s="906"/>
      <c r="P31" s="888"/>
      <c r="Q31" s="889"/>
      <c r="R31" s="890"/>
      <c r="S31" s="887"/>
      <c r="T31" s="888"/>
      <c r="U31" s="889"/>
      <c r="V31" s="891"/>
      <c r="X31" s="1018">
        <f t="shared" si="3"/>
        <v>28</v>
      </c>
      <c r="Y31" s="1019" t="str">
        <f t="shared" si="0"/>
        <v>KGA 오산</v>
      </c>
      <c r="AD31" s="1">
        <f>IF(AG31="","",COUNTIFS($AG$4:AG31,AG31))</f>
        <v>9</v>
      </c>
      <c r="AE31" s="1014" t="s">
        <v>72</v>
      </c>
      <c r="AF31" s="1015">
        <f t="shared" si="1"/>
        <v>0</v>
      </c>
      <c r="AG31" s="1">
        <f t="shared" si="2"/>
        <v>1</v>
      </c>
    </row>
    <row r="32" spans="2:33" ht="30.75" customHeight="1" x14ac:dyDescent="0.3">
      <c r="B32" s="1085"/>
      <c r="C32" s="912"/>
      <c r="D32" s="893"/>
      <c r="E32" s="894"/>
      <c r="F32" s="913"/>
      <c r="G32" s="892"/>
      <c r="H32" s="893"/>
      <c r="I32" s="894"/>
      <c r="J32" s="895"/>
      <c r="K32" s="892"/>
      <c r="L32" s="893"/>
      <c r="M32" s="894"/>
      <c r="N32" s="895"/>
      <c r="O32" s="892"/>
      <c r="P32" s="893"/>
      <c r="Q32" s="894"/>
      <c r="R32" s="895"/>
      <c r="S32" s="892"/>
      <c r="T32" s="893"/>
      <c r="U32" s="894"/>
      <c r="V32" s="896"/>
      <c r="X32" s="1018">
        <f t="shared" si="3"/>
        <v>29</v>
      </c>
      <c r="Y32" s="1019" t="str">
        <f t="shared" si="0"/>
        <v>KGA 엠디</v>
      </c>
      <c r="AD32" s="1">
        <f>IF(AG32="","",COUNTIFS($AG$4:AG32,AG32))</f>
        <v>10</v>
      </c>
      <c r="AE32" s="1014" t="s">
        <v>452</v>
      </c>
      <c r="AF32" s="1015">
        <f t="shared" si="1"/>
        <v>0</v>
      </c>
      <c r="AG32" s="1">
        <f t="shared" si="2"/>
        <v>1</v>
      </c>
    </row>
    <row r="33" spans="2:33" ht="42" customHeight="1" x14ac:dyDescent="0.3">
      <c r="B33" s="1086"/>
      <c r="C33" s="1320"/>
      <c r="D33" s="1313"/>
      <c r="E33" s="1313"/>
      <c r="F33" s="1319"/>
      <c r="G33" s="1312"/>
      <c r="H33" s="1313"/>
      <c r="I33" s="1313"/>
      <c r="J33" s="1319"/>
      <c r="K33" s="1312"/>
      <c r="L33" s="1313"/>
      <c r="M33" s="1313"/>
      <c r="N33" s="1319"/>
      <c r="O33" s="1312"/>
      <c r="P33" s="1313"/>
      <c r="Q33" s="1313"/>
      <c r="R33" s="1319"/>
      <c r="S33" s="1312"/>
      <c r="T33" s="1313"/>
      <c r="U33" s="1313"/>
      <c r="V33" s="1313"/>
      <c r="X33" s="1018">
        <f t="shared" si="3"/>
        <v>30</v>
      </c>
      <c r="Y33" s="1019" t="str">
        <f t="shared" si="0"/>
        <v>KGA 마스타인스 파주</v>
      </c>
      <c r="AD33" s="1" t="str">
        <f>IF(AG33="","",COUNTIFS($AG$4:AG33,AG33))</f>
        <v/>
      </c>
      <c r="AE33" s="1014" t="s">
        <v>659</v>
      </c>
      <c r="AF33" s="1015">
        <f t="shared" si="1"/>
        <v>2</v>
      </c>
      <c r="AG33" s="1" t="str">
        <f t="shared" si="2"/>
        <v/>
      </c>
    </row>
    <row r="34" spans="2:33" ht="30.75" customHeight="1" x14ac:dyDescent="0.3">
      <c r="B34" s="1079" t="s">
        <v>12</v>
      </c>
      <c r="C34" s="62"/>
      <c r="D34" s="63"/>
      <c r="E34" s="64"/>
      <c r="F34" s="61"/>
      <c r="G34" s="65">
        <v>0.39583333333333331</v>
      </c>
      <c r="H34" s="63" t="s">
        <v>659</v>
      </c>
      <c r="I34" s="64"/>
      <c r="J34" s="66"/>
      <c r="K34" s="65">
        <v>0.39583333333333331</v>
      </c>
      <c r="L34" s="63" t="s">
        <v>157</v>
      </c>
      <c r="M34" s="64"/>
      <c r="N34" s="66"/>
      <c r="O34" s="65"/>
      <c r="P34" s="63"/>
      <c r="Q34" s="64"/>
      <c r="R34" s="66"/>
      <c r="S34" s="65"/>
      <c r="T34" s="63"/>
      <c r="U34" s="64"/>
      <c r="V34" s="67"/>
      <c r="X34" s="1018">
        <f t="shared" si="3"/>
        <v>31</v>
      </c>
      <c r="Y34" s="1019" t="str">
        <f t="shared" si="0"/>
        <v>GAK 엠파이어평택</v>
      </c>
      <c r="AD34" s="1" t="str">
        <f>IF(AG34="","",COUNTIFS($AG$4:AG34,AG34))</f>
        <v/>
      </c>
      <c r="AE34" s="1014" t="s">
        <v>660</v>
      </c>
      <c r="AF34" s="1015">
        <f t="shared" si="1"/>
        <v>1</v>
      </c>
      <c r="AG34" s="1" t="str">
        <f t="shared" si="2"/>
        <v/>
      </c>
    </row>
    <row r="35" spans="2:33" ht="30.75" customHeight="1" x14ac:dyDescent="0.3">
      <c r="B35" s="1080"/>
      <c r="C35" s="69"/>
      <c r="D35" s="70"/>
      <c r="E35" s="71"/>
      <c r="F35" s="68"/>
      <c r="G35" s="72"/>
      <c r="H35" s="70"/>
      <c r="I35" s="71"/>
      <c r="J35" s="73"/>
      <c r="K35" s="72"/>
      <c r="L35" s="70"/>
      <c r="M35" s="71"/>
      <c r="N35" s="73"/>
      <c r="O35" s="72"/>
      <c r="P35" s="70"/>
      <c r="Q35" s="71"/>
      <c r="R35" s="73"/>
      <c r="S35" s="72"/>
      <c r="T35" s="70"/>
      <c r="U35" s="71"/>
      <c r="V35" s="74"/>
      <c r="X35" s="1018">
        <f t="shared" si="3"/>
        <v>32</v>
      </c>
      <c r="Y35" s="1019" t="str">
        <f t="shared" si="0"/>
        <v>GAK 다온드림투</v>
      </c>
      <c r="AD35" s="1" t="str">
        <f>IF(AG35="","",COUNTIFS($AG$4:AG35,AG35))</f>
        <v/>
      </c>
      <c r="AE35" s="1014" t="s">
        <v>433</v>
      </c>
      <c r="AF35" s="1015">
        <f t="shared" si="1"/>
        <v>1</v>
      </c>
      <c r="AG35" s="1" t="str">
        <f t="shared" si="2"/>
        <v/>
      </c>
    </row>
    <row r="36" spans="2:33" ht="30.75" customHeight="1" x14ac:dyDescent="0.3">
      <c r="B36" s="9" t="s">
        <v>13</v>
      </c>
      <c r="C36" s="914"/>
      <c r="D36" s="898"/>
      <c r="E36" s="899"/>
      <c r="F36" s="915"/>
      <c r="G36" s="897"/>
      <c r="H36" s="898"/>
      <c r="I36" s="899"/>
      <c r="J36" s="900"/>
      <c r="K36" s="897"/>
      <c r="L36" s="898"/>
      <c r="M36" s="899"/>
      <c r="N36" s="900"/>
      <c r="O36" s="897"/>
      <c r="P36" s="898"/>
      <c r="Q36" s="899"/>
      <c r="R36" s="900"/>
      <c r="S36" s="907"/>
      <c r="T36" s="898"/>
      <c r="U36" s="899"/>
      <c r="V36" s="901"/>
      <c r="X36" s="1018">
        <f t="shared" si="3"/>
        <v>33</v>
      </c>
      <c r="Y36" s="1019" t="str">
        <f t="shared" si="0"/>
        <v>GAK 다성재무</v>
      </c>
      <c r="AD36" s="1" t="str">
        <f>IF(AG36="","",COUNTIFS($AG$4:AG36,AG36))</f>
        <v/>
      </c>
      <c r="AE36" s="1012" t="s">
        <v>491</v>
      </c>
      <c r="AF36" s="1015">
        <f t="shared" si="1"/>
        <v>1</v>
      </c>
      <c r="AG36" s="1" t="str">
        <f t="shared" si="2"/>
        <v/>
      </c>
    </row>
    <row r="37" spans="2:33" ht="30.75" customHeight="1" thickBot="1" x14ac:dyDescent="0.35">
      <c r="B37" s="35" t="s">
        <v>32</v>
      </c>
      <c r="C37" s="916">
        <f>S29+3</f>
        <v>30</v>
      </c>
      <c r="D37" s="903" t="s">
        <v>499</v>
      </c>
      <c r="E37" s="903" t="s">
        <v>500</v>
      </c>
      <c r="F37" s="917" t="s">
        <v>501</v>
      </c>
      <c r="G37" s="918"/>
      <c r="H37" s="919"/>
      <c r="I37" s="919"/>
      <c r="J37" s="920"/>
      <c r="K37" s="918"/>
      <c r="L37" s="919"/>
      <c r="M37" s="919"/>
      <c r="N37" s="920"/>
      <c r="O37" s="918"/>
      <c r="P37" s="919"/>
      <c r="Q37" s="919"/>
      <c r="R37" s="920"/>
      <c r="S37" s="918"/>
      <c r="T37" s="919"/>
      <c r="U37" s="919"/>
      <c r="V37" s="921"/>
      <c r="X37" s="1018">
        <f t="shared" si="3"/>
        <v>34</v>
      </c>
      <c r="Y37" s="1019" t="str">
        <f t="shared" si="0"/>
        <v>GAK 해피오산세교</v>
      </c>
      <c r="AD37" s="1">
        <f>IF(AG37="","",COUNTIFS($AG$4:AG37,AG37))</f>
        <v>11</v>
      </c>
      <c r="AE37" s="1012" t="s">
        <v>638</v>
      </c>
      <c r="AF37" s="1015">
        <f t="shared" si="1"/>
        <v>0</v>
      </c>
      <c r="AG37" s="1">
        <f t="shared" si="2"/>
        <v>1</v>
      </c>
    </row>
    <row r="38" spans="2:33" ht="30.75" customHeight="1" thickTop="1" x14ac:dyDescent="0.3">
      <c r="B38" s="1085" t="s">
        <v>9</v>
      </c>
      <c r="C38" s="908"/>
      <c r="D38" s="883"/>
      <c r="E38" s="884"/>
      <c r="F38" s="909"/>
      <c r="G38" s="857"/>
      <c r="H38" s="858"/>
      <c r="I38" s="859"/>
      <c r="J38" s="860"/>
      <c r="K38" s="857"/>
      <c r="L38" s="858"/>
      <c r="M38" s="859"/>
      <c r="N38" s="860"/>
      <c r="O38" s="857"/>
      <c r="P38" s="858"/>
      <c r="Q38" s="859"/>
      <c r="R38" s="860"/>
      <c r="S38" s="857"/>
      <c r="T38" s="858"/>
      <c r="U38" s="859"/>
      <c r="V38" s="922"/>
      <c r="X38" s="1018">
        <f t="shared" si="3"/>
        <v>35</v>
      </c>
      <c r="Y38" s="1019" t="str">
        <f t="shared" si="0"/>
        <v>GAK 엠파이어라이프엣지</v>
      </c>
      <c r="AD38" s="1" t="str">
        <f>IF(AG38="","",COUNTIFS($AG$4:AG38,AG38))</f>
        <v/>
      </c>
      <c r="AE38" s="1012" t="s">
        <v>637</v>
      </c>
      <c r="AF38" s="1015">
        <f t="shared" si="1"/>
        <v>1</v>
      </c>
      <c r="AG38" s="1" t="str">
        <f t="shared" si="2"/>
        <v/>
      </c>
    </row>
    <row r="39" spans="2:33" ht="30.75" customHeight="1" x14ac:dyDescent="0.3">
      <c r="B39" s="1085"/>
      <c r="C39" s="910"/>
      <c r="D39" s="888"/>
      <c r="E39" s="889"/>
      <c r="F39" s="911"/>
      <c r="G39" s="861"/>
      <c r="H39" s="862"/>
      <c r="I39" s="863"/>
      <c r="J39" s="864"/>
      <c r="K39" s="861"/>
      <c r="L39" s="862"/>
      <c r="M39" s="863"/>
      <c r="N39" s="864"/>
      <c r="O39" s="861"/>
      <c r="P39" s="862"/>
      <c r="Q39" s="863"/>
      <c r="R39" s="864"/>
      <c r="S39" s="861"/>
      <c r="T39" s="862"/>
      <c r="U39" s="863"/>
      <c r="V39" s="923"/>
      <c r="X39" s="1018">
        <f t="shared" si="3"/>
        <v>36</v>
      </c>
      <c r="Y39" s="1019" t="str">
        <f t="shared" si="0"/>
        <v>GAK 에셋마스터오케이</v>
      </c>
      <c r="AD39" s="1" t="str">
        <f>IF(AG39="","",COUNTIFS($AG$4:AG39,AG39))</f>
        <v/>
      </c>
      <c r="AE39" s="1012" t="s">
        <v>41</v>
      </c>
      <c r="AF39" s="1015">
        <f t="shared" si="1"/>
        <v>1</v>
      </c>
      <c r="AG39" s="1" t="str">
        <f t="shared" si="2"/>
        <v/>
      </c>
    </row>
    <row r="40" spans="2:33" ht="30.75" customHeight="1" x14ac:dyDescent="0.3">
      <c r="B40" s="1085"/>
      <c r="C40" s="912"/>
      <c r="D40" s="893"/>
      <c r="E40" s="894"/>
      <c r="F40" s="913"/>
      <c r="G40" s="866"/>
      <c r="H40" s="867"/>
      <c r="I40" s="868"/>
      <c r="J40" s="869"/>
      <c r="K40" s="866"/>
      <c r="L40" s="867"/>
      <c r="M40" s="868"/>
      <c r="N40" s="869"/>
      <c r="O40" s="866"/>
      <c r="P40" s="867"/>
      <c r="Q40" s="868"/>
      <c r="R40" s="869"/>
      <c r="S40" s="866"/>
      <c r="T40" s="867"/>
      <c r="U40" s="868"/>
      <c r="V40" s="924"/>
      <c r="X40" s="1018">
        <f t="shared" si="3"/>
        <v>37</v>
      </c>
      <c r="Y40" s="1019" t="str">
        <f t="shared" si="0"/>
        <v>GAK 에셋마스터싼타티씨</v>
      </c>
      <c r="AD40" s="1">
        <f>IF(AG40="","",COUNTIFS($AG$4:AG40,AG40))</f>
        <v>12</v>
      </c>
      <c r="AE40" s="1012" t="s">
        <v>662</v>
      </c>
      <c r="AF40" s="1015">
        <f t="shared" si="1"/>
        <v>0</v>
      </c>
      <c r="AG40" s="1">
        <f t="shared" si="2"/>
        <v>1</v>
      </c>
    </row>
    <row r="41" spans="2:33" ht="42" customHeight="1" x14ac:dyDescent="0.3">
      <c r="B41" s="1086"/>
      <c r="C41" s="1320"/>
      <c r="D41" s="1313"/>
      <c r="E41" s="1313"/>
      <c r="F41" s="1319"/>
      <c r="G41" s="1316"/>
      <c r="H41" s="1317"/>
      <c r="I41" s="1317"/>
      <c r="J41" s="1318"/>
      <c r="K41" s="1316"/>
      <c r="L41" s="1317"/>
      <c r="M41" s="1317"/>
      <c r="N41" s="1318"/>
      <c r="O41" s="1316"/>
      <c r="P41" s="1317"/>
      <c r="Q41" s="1317"/>
      <c r="R41" s="1318"/>
      <c r="S41" s="1316"/>
      <c r="T41" s="1317"/>
      <c r="U41" s="1317"/>
      <c r="V41" s="1317"/>
      <c r="X41" s="1018">
        <f t="shared" si="3"/>
        <v>38</v>
      </c>
      <c r="Y41" s="1019" t="str">
        <f t="shared" si="0"/>
        <v>GAK 에셋마스터마스타인스</v>
      </c>
      <c r="AD41" s="1" t="str">
        <f>IF(AG41="","",COUNTIFS($AG$4:AG41,AG41))</f>
        <v/>
      </c>
      <c r="AE41" s="1012" t="s">
        <v>94</v>
      </c>
      <c r="AF41" s="1015">
        <f t="shared" si="1"/>
        <v>1</v>
      </c>
      <c r="AG41" s="1" t="str">
        <f t="shared" si="2"/>
        <v/>
      </c>
    </row>
    <row r="42" spans="2:33" ht="30.75" customHeight="1" x14ac:dyDescent="0.3">
      <c r="B42" s="1079" t="s">
        <v>12</v>
      </c>
      <c r="C42" s="62"/>
      <c r="D42" s="63"/>
      <c r="E42" s="64"/>
      <c r="F42" s="61"/>
      <c r="G42" s="870"/>
      <c r="H42" s="871"/>
      <c r="I42" s="872"/>
      <c r="J42" s="873"/>
      <c r="K42" s="870"/>
      <c r="L42" s="871"/>
      <c r="M42" s="872"/>
      <c r="N42" s="873"/>
      <c r="O42" s="870"/>
      <c r="P42" s="871"/>
      <c r="Q42" s="872"/>
      <c r="R42" s="873"/>
      <c r="S42" s="870"/>
      <c r="T42" s="871"/>
      <c r="U42" s="872"/>
      <c r="V42" s="925"/>
      <c r="X42" s="1018">
        <f t="shared" si="3"/>
        <v>39</v>
      </c>
      <c r="Y42" s="1019" t="str">
        <f t="shared" si="0"/>
        <v>GAK 새파랑다옴</v>
      </c>
      <c r="AD42" s="1" t="str">
        <f>IF(AG42="","",COUNTIFS($AG$4:AG42,AG42))</f>
        <v/>
      </c>
      <c r="AE42" s="1012" t="s">
        <v>170</v>
      </c>
      <c r="AF42" s="1015">
        <f t="shared" si="1"/>
        <v>1</v>
      </c>
      <c r="AG42" s="1" t="str">
        <f t="shared" si="2"/>
        <v/>
      </c>
    </row>
    <row r="43" spans="2:33" ht="30.75" customHeight="1" x14ac:dyDescent="0.3">
      <c r="B43" s="1080"/>
      <c r="C43" s="69"/>
      <c r="D43" s="70"/>
      <c r="E43" s="71"/>
      <c r="F43" s="68"/>
      <c r="G43" s="874"/>
      <c r="H43" s="875"/>
      <c r="I43" s="876"/>
      <c r="J43" s="877"/>
      <c r="K43" s="874"/>
      <c r="L43" s="875"/>
      <c r="M43" s="876"/>
      <c r="N43" s="877"/>
      <c r="O43" s="874"/>
      <c r="P43" s="875"/>
      <c r="Q43" s="876"/>
      <c r="R43" s="877"/>
      <c r="S43" s="874"/>
      <c r="T43" s="875"/>
      <c r="U43" s="876"/>
      <c r="V43" s="926"/>
      <c r="X43" s="1018">
        <f t="shared" si="3"/>
        <v>40</v>
      </c>
      <c r="Y43" s="1019" t="str">
        <f t="shared" si="0"/>
        <v>유퍼스트 오산</v>
      </c>
      <c r="AD43" s="1" t="str">
        <f>IF(AG43="","",COUNTIFS($AG$4:AG43,AG43))</f>
        <v/>
      </c>
      <c r="AE43" s="1012" t="s">
        <v>456</v>
      </c>
      <c r="AF43" s="1015">
        <f t="shared" si="1"/>
        <v>1</v>
      </c>
      <c r="AG43" s="1" t="str">
        <f t="shared" si="2"/>
        <v/>
      </c>
    </row>
    <row r="44" spans="2:33" ht="30.75" customHeight="1" x14ac:dyDescent="0.3">
      <c r="B44" s="9" t="s">
        <v>13</v>
      </c>
      <c r="C44" s="914"/>
      <c r="D44" s="898"/>
      <c r="E44" s="899"/>
      <c r="F44" s="915"/>
      <c r="G44" s="878"/>
      <c r="H44" s="879"/>
      <c r="I44" s="880"/>
      <c r="J44" s="881"/>
      <c r="K44" s="878"/>
      <c r="L44" s="879"/>
      <c r="M44" s="880"/>
      <c r="N44" s="881"/>
      <c r="O44" s="878"/>
      <c r="P44" s="879"/>
      <c r="Q44" s="880"/>
      <c r="R44" s="881"/>
      <c r="S44" s="878"/>
      <c r="T44" s="879"/>
      <c r="U44" s="880"/>
      <c r="V44" s="927"/>
      <c r="X44" s="1018">
        <f t="shared" si="3"/>
        <v>41</v>
      </c>
      <c r="Y44" s="1019" t="str">
        <f t="shared" si="0"/>
        <v>엑셀금융서비스(주) 평택사업단</v>
      </c>
      <c r="AD44" s="1" t="str">
        <f>IF(AG44="","",COUNTIFS($AG$4:AG44,AG44))</f>
        <v/>
      </c>
      <c r="AE44" s="1012" t="s">
        <v>106</v>
      </c>
      <c r="AF44" s="1015">
        <f t="shared" si="1"/>
        <v>1</v>
      </c>
      <c r="AG44" s="1" t="str">
        <f t="shared" si="2"/>
        <v/>
      </c>
    </row>
    <row r="45" spans="2:33" ht="30.75" customHeight="1" x14ac:dyDescent="0.3">
      <c r="X45" s="1018">
        <f t="shared" si="3"/>
        <v>42</v>
      </c>
      <c r="Y45" s="1019" t="str">
        <f t="shared" si="0"/>
        <v>엑셀금융서비스(주) 안성사업단</v>
      </c>
      <c r="AD45" s="1" t="str">
        <f>IF(AG45="","",COUNTIFS($AG$4:AG45,AG45))</f>
        <v/>
      </c>
      <c r="AE45" s="1016" t="s">
        <v>455</v>
      </c>
      <c r="AF45" s="1015">
        <f t="shared" si="1"/>
        <v>1</v>
      </c>
      <c r="AG45" s="1" t="str">
        <f t="shared" si="2"/>
        <v/>
      </c>
    </row>
    <row r="46" spans="2:33" ht="30.75" customHeight="1" x14ac:dyDescent="0.3">
      <c r="X46" s="1018">
        <f t="shared" si="3"/>
        <v>43</v>
      </c>
      <c r="Y46" s="1019" t="str">
        <f t="shared" si="0"/>
        <v>엑셀금융서비스(주) 수원사업단</v>
      </c>
      <c r="AD46" s="1" t="str">
        <f>IF(AG46="","",COUNTIFS($AG$4:AG46,AG46))</f>
        <v/>
      </c>
      <c r="AE46" s="1016" t="s">
        <v>268</v>
      </c>
      <c r="AF46" s="1015">
        <f t="shared" si="1"/>
        <v>1</v>
      </c>
      <c r="AG46" s="1" t="str">
        <f t="shared" si="2"/>
        <v/>
      </c>
    </row>
    <row r="47" spans="2:33" ht="30.75" customHeight="1" x14ac:dyDescent="0.3">
      <c r="X47" s="1018">
        <f t="shared" si="3"/>
        <v>44</v>
      </c>
      <c r="Y47" s="1019" t="str">
        <f t="shared" si="0"/>
        <v>에스앤에스보험대리점</v>
      </c>
      <c r="AD47" s="1">
        <f>IF(AG47="","",COUNTIFS($AG$4:AG47,AG47))</f>
        <v>13</v>
      </c>
      <c r="AE47" s="1016" t="s">
        <v>34</v>
      </c>
      <c r="AF47" s="1015">
        <f t="shared" si="1"/>
        <v>0</v>
      </c>
      <c r="AG47" s="1">
        <f t="shared" si="2"/>
        <v>1</v>
      </c>
    </row>
    <row r="48" spans="2:33" ht="30.75" customHeight="1" x14ac:dyDescent="0.3">
      <c r="X48" s="1018">
        <f t="shared" si="3"/>
        <v>45</v>
      </c>
      <c r="Y48" s="1019" t="str">
        <f t="shared" si="0"/>
        <v>신금플 한길</v>
      </c>
      <c r="AD48" s="1">
        <f>IF(AG48="","",COUNTIFS($AG$4:AG48,AG48))</f>
        <v>14</v>
      </c>
      <c r="AE48" s="1016" t="s">
        <v>46</v>
      </c>
      <c r="AF48" s="1015">
        <f t="shared" si="1"/>
        <v>0</v>
      </c>
      <c r="AG48" s="1">
        <f t="shared" si="2"/>
        <v>1</v>
      </c>
    </row>
    <row r="49" spans="24:33" ht="30.75" customHeight="1" x14ac:dyDescent="0.3">
      <c r="X49" s="1018">
        <f t="shared" si="3"/>
        <v>46</v>
      </c>
      <c r="Y49" s="1019" t="str">
        <f t="shared" si="0"/>
        <v>미래에셋 히어로</v>
      </c>
      <c r="AD49" s="1">
        <f>IF(AG49="","",COUNTIFS($AG$4:AG49,AG49))</f>
        <v>15</v>
      </c>
      <c r="AE49" s="1016" t="s">
        <v>89</v>
      </c>
      <c r="AF49" s="1015">
        <f t="shared" si="1"/>
        <v>0</v>
      </c>
      <c r="AG49" s="1">
        <f t="shared" si="2"/>
        <v>1</v>
      </c>
    </row>
    <row r="50" spans="24:33" ht="30.75" customHeight="1" x14ac:dyDescent="0.3">
      <c r="X50" s="1018">
        <f t="shared" si="3"/>
        <v>47</v>
      </c>
      <c r="Y50" s="1019" t="str">
        <f t="shared" si="0"/>
        <v>미래에셋 그로우</v>
      </c>
      <c r="AD50" s="1">
        <f>IF(AG50="","",COUNTIFS($AG$4:AG50,AG50))</f>
        <v>16</v>
      </c>
      <c r="AE50" s="1016" t="s">
        <v>663</v>
      </c>
      <c r="AF50" s="1015">
        <f t="shared" si="1"/>
        <v>0</v>
      </c>
      <c r="AG50" s="1">
        <f t="shared" si="2"/>
        <v>1</v>
      </c>
    </row>
    <row r="51" spans="24:33" ht="30.75" customHeight="1" x14ac:dyDescent="0.3">
      <c r="X51" s="1018">
        <f t="shared" si="3"/>
        <v>48</v>
      </c>
      <c r="Y51" s="1019" t="str">
        <f t="shared" si="0"/>
        <v>더베스트 제우스경기법인</v>
      </c>
      <c r="AD51" s="1">
        <f>IF(AG51="","",COUNTIFS($AG$4:AG51,AG51))</f>
        <v>17</v>
      </c>
      <c r="AE51" s="1016" t="s">
        <v>630</v>
      </c>
      <c r="AF51" s="1015">
        <f t="shared" si="1"/>
        <v>0</v>
      </c>
      <c r="AG51" s="1">
        <f t="shared" si="2"/>
        <v>1</v>
      </c>
    </row>
    <row r="52" spans="24:33" ht="30.75" customHeight="1" x14ac:dyDescent="0.3">
      <c r="X52" s="1018">
        <f t="shared" si="3"/>
        <v>49</v>
      </c>
      <c r="Y52" s="1019" t="str">
        <f t="shared" si="0"/>
        <v>더베스트 위드탑</v>
      </c>
      <c r="AD52" s="1">
        <f>IF(AG52="","",COUNTIFS($AG$4:AG52,AG52))</f>
        <v>18</v>
      </c>
      <c r="AE52" s="1012" t="s">
        <v>673</v>
      </c>
      <c r="AF52" s="1015">
        <f t="shared" si="1"/>
        <v>0</v>
      </c>
      <c r="AG52" s="1">
        <f t="shared" si="2"/>
        <v>1</v>
      </c>
    </row>
    <row r="53" spans="24:33" ht="30.75" customHeight="1" x14ac:dyDescent="0.3">
      <c r="X53" s="1018">
        <f t="shared" si="3"/>
        <v>50</v>
      </c>
      <c r="Y53" s="1019" t="str">
        <f t="shared" si="0"/>
        <v>더베스트 아람</v>
      </c>
      <c r="AD53" s="1">
        <f>IF(AG53="","",COUNTIFS($AG$4:AG53,AG53))</f>
        <v>19</v>
      </c>
      <c r="AE53" s="1012" t="s">
        <v>173</v>
      </c>
      <c r="AF53" s="1015">
        <f t="shared" si="1"/>
        <v>0</v>
      </c>
      <c r="AG53" s="1">
        <f t="shared" si="2"/>
        <v>1</v>
      </c>
    </row>
    <row r="54" spans="24:33" ht="30.75" customHeight="1" x14ac:dyDescent="0.3">
      <c r="X54" s="1018">
        <f t="shared" si="3"/>
        <v>51</v>
      </c>
      <c r="Y54" s="1019" t="str">
        <f t="shared" si="0"/>
        <v>더블유에셋 오산</v>
      </c>
      <c r="AD54" s="1" t="str">
        <f>IF(AG54="","",COUNTIFS($AG$4:AG54,AG54))</f>
        <v/>
      </c>
      <c r="AE54" s="1012" t="s">
        <v>641</v>
      </c>
      <c r="AF54" s="1015">
        <f t="shared" si="1"/>
        <v>1</v>
      </c>
      <c r="AG54" s="1" t="str">
        <f t="shared" si="2"/>
        <v/>
      </c>
    </row>
    <row r="55" spans="24:33" ht="30.75" customHeight="1" x14ac:dyDescent="0.3">
      <c r="X55" s="1018">
        <f t="shared" si="3"/>
        <v>52</v>
      </c>
      <c r="Y55" s="1019" t="str">
        <f t="shared" si="0"/>
        <v>더좋은 화성</v>
      </c>
      <c r="AB55" s="1015"/>
      <c r="AC55" s="1015"/>
      <c r="AD55" s="1">
        <f>IF(AG55="","",COUNTIFS($AG$4:AG55,AG55))</f>
        <v>20</v>
      </c>
      <c r="AE55" s="1012" t="s">
        <v>651</v>
      </c>
      <c r="AF55" s="1015">
        <f t="shared" si="1"/>
        <v>0</v>
      </c>
      <c r="AG55" s="1">
        <f t="shared" si="2"/>
        <v>1</v>
      </c>
    </row>
    <row r="56" spans="24:33" ht="30.75" customHeight="1" x14ac:dyDescent="0.3">
      <c r="X56" s="1018">
        <f t="shared" si="3"/>
        <v>53</v>
      </c>
      <c r="Y56" s="1019" t="str">
        <f t="shared" si="0"/>
        <v>인슈코아 평택</v>
      </c>
      <c r="AB56" s="1015"/>
      <c r="AC56" s="1015"/>
      <c r="AD56" s="1">
        <f>IF(AG56="","",COUNTIFS($AG$4:AG56,AG56))</f>
        <v>21</v>
      </c>
      <c r="AE56" s="1012" t="s">
        <v>649</v>
      </c>
      <c r="AF56" s="1015">
        <f t="shared" si="1"/>
        <v>0</v>
      </c>
      <c r="AG56" s="1">
        <f t="shared" si="2"/>
        <v>1</v>
      </c>
    </row>
    <row r="57" spans="24:33" ht="30.75" customHeight="1" x14ac:dyDescent="0.3">
      <c r="X57" s="1018">
        <f t="shared" si="3"/>
        <v>54</v>
      </c>
      <c r="Y57" s="1019" t="str">
        <f t="shared" si="0"/>
        <v>엠금융 코리안인슈</v>
      </c>
      <c r="AB57" s="1015"/>
      <c r="AC57" s="1015"/>
      <c r="AD57" s="1" t="str">
        <f>IF(AG57="","",COUNTIFS($AG$4:AG57,AG57))</f>
        <v/>
      </c>
      <c r="AE57" s="1012" t="s">
        <v>626</v>
      </c>
      <c r="AF57" s="1015">
        <f t="shared" si="1"/>
        <v>1</v>
      </c>
      <c r="AG57" s="1" t="str">
        <f t="shared" si="2"/>
        <v/>
      </c>
    </row>
    <row r="58" spans="24:33" ht="30.75" customHeight="1" x14ac:dyDescent="0.3">
      <c r="X58" s="1018">
        <f t="shared" si="3"/>
        <v>55</v>
      </c>
      <c r="Y58" s="1019" t="str">
        <f t="shared" si="0"/>
        <v>엠금융 인슈프라임</v>
      </c>
      <c r="AB58" s="1015"/>
      <c r="AC58" s="1015"/>
      <c r="AD58" s="1" t="str">
        <f>IF(AG58="","",COUNTIFS($AG$4:AG58,AG58))</f>
        <v/>
      </c>
      <c r="AE58" s="1012" t="s">
        <v>229</v>
      </c>
      <c r="AF58" s="1015">
        <f t="shared" si="1"/>
        <v>1</v>
      </c>
      <c r="AG58" s="1" t="str">
        <f t="shared" si="2"/>
        <v/>
      </c>
    </row>
    <row r="59" spans="24:33" ht="30.75" customHeight="1" x14ac:dyDescent="0.3">
      <c r="X59" s="1018">
        <f t="shared" si="3"/>
        <v>56</v>
      </c>
      <c r="Y59" s="1019" t="str">
        <f t="shared" si="0"/>
        <v>엠금융 보험플러스</v>
      </c>
      <c r="AB59" s="1015"/>
      <c r="AC59" s="1015"/>
      <c r="AD59" s="1" t="str">
        <f>IF(AG59="","",COUNTIFS($AG$4:AG59,AG59))</f>
        <v/>
      </c>
      <c r="AE59" s="1012" t="s">
        <v>642</v>
      </c>
      <c r="AF59" s="1015">
        <f t="shared" si="1"/>
        <v>1</v>
      </c>
      <c r="AG59" s="1" t="str">
        <f t="shared" si="2"/>
        <v/>
      </c>
    </row>
    <row r="60" spans="24:33" ht="30.75" customHeight="1" x14ac:dyDescent="0.3">
      <c r="X60" s="1018">
        <f t="shared" si="3"/>
        <v>57</v>
      </c>
      <c r="Y60" s="1019" t="str">
        <f t="shared" si="0"/>
        <v>글로벌 베스트평택</v>
      </c>
      <c r="AB60" s="1015"/>
      <c r="AC60" s="1015"/>
      <c r="AD60" s="1" t="str">
        <f>IF(AG60="","",COUNTIFS($AG$4:AG60,AG60))</f>
        <v/>
      </c>
      <c r="AE60" s="1012" t="s">
        <v>640</v>
      </c>
      <c r="AF60" s="1015">
        <f t="shared" si="1"/>
        <v>1</v>
      </c>
      <c r="AG60" s="1" t="str">
        <f t="shared" si="2"/>
        <v/>
      </c>
    </row>
    <row r="61" spans="24:33" ht="30.75" customHeight="1" x14ac:dyDescent="0.3">
      <c r="X61" s="1018">
        <f t="shared" si="3"/>
        <v>58</v>
      </c>
      <c r="Y61" s="1019" t="str">
        <f t="shared" si="0"/>
        <v>글로벌 대한라이프평택</v>
      </c>
      <c r="AB61" s="1015"/>
      <c r="AC61" s="1015"/>
      <c r="AD61" s="1">
        <f>IF(AG61="","",COUNTIFS($AG$4:AG61,AG61))</f>
        <v>22</v>
      </c>
      <c r="AE61" s="1012" t="s">
        <v>645</v>
      </c>
      <c r="AF61" s="1015">
        <f t="shared" si="1"/>
        <v>0</v>
      </c>
      <c r="AG61" s="1">
        <f t="shared" si="2"/>
        <v>1</v>
      </c>
    </row>
    <row r="62" spans="24:33" ht="30.75" customHeight="1" x14ac:dyDescent="0.3">
      <c r="X62" s="1018">
        <f t="shared" si="3"/>
        <v>59</v>
      </c>
      <c r="Y62" s="1019" t="str">
        <f t="shared" si="0"/>
        <v>삼성화재 브라보</v>
      </c>
      <c r="AB62" s="1015"/>
      <c r="AC62" s="1015"/>
      <c r="AD62" s="1">
        <f>IF(AG62="","",COUNTIFS($AG$4:AG62,AG62))</f>
        <v>23</v>
      </c>
      <c r="AE62" s="1012" t="s">
        <v>175</v>
      </c>
      <c r="AF62" s="1015">
        <f t="shared" si="1"/>
        <v>0</v>
      </c>
      <c r="AG62" s="1">
        <f t="shared" si="2"/>
        <v>1</v>
      </c>
    </row>
    <row r="63" spans="24:33" ht="30.75" customHeight="1" x14ac:dyDescent="0.3">
      <c r="X63" s="1018">
        <f t="shared" si="3"/>
        <v>60</v>
      </c>
      <c r="Y63" s="1019" t="e">
        <f t="shared" si="0"/>
        <v>#N/A</v>
      </c>
      <c r="AB63" s="1015"/>
      <c r="AC63" s="1015"/>
      <c r="AD63" s="1" t="str">
        <f>IF(AG63="","",COUNTIFS($AG$4:AG63,AG63))</f>
        <v/>
      </c>
      <c r="AE63" s="1012" t="s">
        <v>648</v>
      </c>
      <c r="AF63" s="1015">
        <f t="shared" si="1"/>
        <v>1</v>
      </c>
      <c r="AG63" s="1" t="str">
        <f t="shared" si="2"/>
        <v/>
      </c>
    </row>
    <row r="64" spans="24:33" ht="30.75" customHeight="1" x14ac:dyDescent="0.3">
      <c r="X64" s="1018">
        <f t="shared" si="3"/>
        <v>61</v>
      </c>
      <c r="Y64" s="1019" t="e">
        <f t="shared" si="0"/>
        <v>#N/A</v>
      </c>
      <c r="AB64" s="1015"/>
      <c r="AC64" s="1015"/>
      <c r="AD64" s="1" t="str">
        <f>IF(AG64="","",COUNTIFS($AG$4:AG64,AG64))</f>
        <v/>
      </c>
      <c r="AE64" s="1012" t="s">
        <v>185</v>
      </c>
      <c r="AF64" s="1015">
        <f t="shared" si="1"/>
        <v>1</v>
      </c>
      <c r="AG64" s="1" t="str">
        <f t="shared" si="2"/>
        <v/>
      </c>
    </row>
    <row r="65" spans="24:33" ht="30.75" customHeight="1" x14ac:dyDescent="0.3">
      <c r="X65" s="1018">
        <f t="shared" si="3"/>
        <v>62</v>
      </c>
      <c r="Y65" s="1019" t="e">
        <f t="shared" si="0"/>
        <v>#N/A</v>
      </c>
      <c r="AB65" s="1015"/>
      <c r="AC65" s="1015"/>
      <c r="AD65" s="1">
        <f>IF(AG65="","",COUNTIFS($AG$4:AG65,AG65))</f>
        <v>24</v>
      </c>
      <c r="AE65" s="1012" t="s">
        <v>650</v>
      </c>
      <c r="AF65" s="1015">
        <f t="shared" si="1"/>
        <v>0</v>
      </c>
      <c r="AG65" s="1">
        <f t="shared" si="2"/>
        <v>1</v>
      </c>
    </row>
    <row r="66" spans="24:33" ht="30.75" customHeight="1" x14ac:dyDescent="0.3">
      <c r="X66" s="1018">
        <f t="shared" si="3"/>
        <v>63</v>
      </c>
      <c r="Y66" s="1019" t="e">
        <f t="shared" si="0"/>
        <v>#N/A</v>
      </c>
      <c r="AB66" s="1015"/>
      <c r="AC66" s="1015"/>
      <c r="AD66" s="1">
        <f>IF(AG66="","",COUNTIFS($AG$4:AG66,AG66))</f>
        <v>25</v>
      </c>
      <c r="AE66" s="1012" t="s">
        <v>643</v>
      </c>
      <c r="AF66" s="1015">
        <f t="shared" si="1"/>
        <v>0</v>
      </c>
      <c r="AG66" s="1">
        <f t="shared" si="2"/>
        <v>1</v>
      </c>
    </row>
    <row r="67" spans="24:33" ht="30.75" customHeight="1" x14ac:dyDescent="0.3">
      <c r="X67" s="1018">
        <f t="shared" si="3"/>
        <v>64</v>
      </c>
      <c r="Y67" s="1019" t="e">
        <f t="shared" si="0"/>
        <v>#N/A</v>
      </c>
      <c r="AB67" s="1015"/>
      <c r="AC67" s="1015"/>
      <c r="AD67" s="1" t="str">
        <f>IF(AG67="","",COUNTIFS($AG$4:AG67,AG67))</f>
        <v/>
      </c>
      <c r="AE67" s="1012" t="s">
        <v>644</v>
      </c>
      <c r="AF67" s="1015">
        <f t="shared" si="1"/>
        <v>1</v>
      </c>
      <c r="AG67" s="1" t="str">
        <f t="shared" si="2"/>
        <v/>
      </c>
    </row>
    <row r="68" spans="24:33" ht="30.75" customHeight="1" x14ac:dyDescent="0.3">
      <c r="X68" s="1018">
        <f t="shared" si="3"/>
        <v>65</v>
      </c>
      <c r="Y68" s="1019" t="e">
        <f t="shared" ref="Y68:Y110" si="4">VLOOKUP(X68,$AD$4:$AE$111,2,FALSE)</f>
        <v>#N/A</v>
      </c>
      <c r="AB68" s="1015"/>
      <c r="AC68" s="1015"/>
      <c r="AD68" s="1">
        <f>IF(AG68="","",COUNTIFS($AG$4:AG68,AG68))</f>
        <v>26</v>
      </c>
      <c r="AE68" s="1012" t="s">
        <v>671</v>
      </c>
      <c r="AF68" s="1015">
        <f t="shared" ref="AF68:AF110" si="5">COUNTIFS($B$3:$V$46,AE68)</f>
        <v>0</v>
      </c>
      <c r="AG68" s="1">
        <f t="shared" si="2"/>
        <v>1</v>
      </c>
    </row>
    <row r="69" spans="24:33" ht="30.75" customHeight="1" x14ac:dyDescent="0.3">
      <c r="X69" s="1018">
        <f t="shared" si="3"/>
        <v>66</v>
      </c>
      <c r="Y69" s="1019" t="e">
        <f t="shared" si="4"/>
        <v>#N/A</v>
      </c>
      <c r="AB69" s="1015"/>
      <c r="AC69" s="1015"/>
      <c r="AD69" s="1">
        <f>IF(AG69="","",COUNTIFS($AG$4:AG69,AG69))</f>
        <v>27</v>
      </c>
      <c r="AE69" s="1012" t="s">
        <v>672</v>
      </c>
      <c r="AF69" s="1015">
        <f t="shared" si="5"/>
        <v>0</v>
      </c>
      <c r="AG69" s="1">
        <f t="shared" ref="AG69:AG110" si="6">IF(AF69=0,1,"")</f>
        <v>1</v>
      </c>
    </row>
    <row r="70" spans="24:33" ht="30.75" customHeight="1" x14ac:dyDescent="0.3">
      <c r="X70" s="1018">
        <f t="shared" si="3"/>
        <v>67</v>
      </c>
      <c r="Y70" s="1019" t="e">
        <f t="shared" si="4"/>
        <v>#N/A</v>
      </c>
      <c r="AB70" s="1015"/>
      <c r="AC70" s="1015"/>
      <c r="AD70" s="1">
        <f>IF(AG70="","",COUNTIFS($AG$4:AG70,AG70))</f>
        <v>28</v>
      </c>
      <c r="AE70" s="1012" t="s">
        <v>84</v>
      </c>
      <c r="AF70" s="1015">
        <f t="shared" si="5"/>
        <v>0</v>
      </c>
      <c r="AG70" s="1">
        <f t="shared" si="6"/>
        <v>1</v>
      </c>
    </row>
    <row r="71" spans="24:33" ht="30.75" customHeight="1" x14ac:dyDescent="0.3">
      <c r="X71" s="1018">
        <f t="shared" si="3"/>
        <v>68</v>
      </c>
      <c r="Y71" s="1019" t="e">
        <f t="shared" si="4"/>
        <v>#N/A</v>
      </c>
      <c r="AD71" s="1">
        <f>IF(AG71="","",COUNTIFS($AG$4:AG71,AG71))</f>
        <v>29</v>
      </c>
      <c r="AE71" s="1012" t="s">
        <v>124</v>
      </c>
      <c r="AF71" s="1015">
        <f t="shared" si="5"/>
        <v>0</v>
      </c>
      <c r="AG71" s="1">
        <f t="shared" si="6"/>
        <v>1</v>
      </c>
    </row>
    <row r="72" spans="24:33" ht="30.75" customHeight="1" x14ac:dyDescent="0.3">
      <c r="X72" s="1018">
        <f t="shared" si="3"/>
        <v>69</v>
      </c>
      <c r="Y72" s="1019" t="e">
        <f t="shared" si="4"/>
        <v>#N/A</v>
      </c>
      <c r="AD72" s="1">
        <f>IF(AG72="","",COUNTIFS($AG$4:AG72,AG72))</f>
        <v>30</v>
      </c>
      <c r="AE72" s="1012" t="s">
        <v>285</v>
      </c>
      <c r="AF72" s="1015">
        <f t="shared" si="5"/>
        <v>0</v>
      </c>
      <c r="AG72" s="1">
        <f t="shared" si="6"/>
        <v>1</v>
      </c>
    </row>
    <row r="73" spans="24:33" ht="30.75" customHeight="1" x14ac:dyDescent="0.3">
      <c r="X73" s="1018">
        <f t="shared" si="3"/>
        <v>70</v>
      </c>
      <c r="Y73" s="1019" t="e">
        <f t="shared" si="4"/>
        <v>#N/A</v>
      </c>
      <c r="AD73" s="1">
        <f>IF(AG73="","",COUNTIFS($AG$4:AG73,AG73))</f>
        <v>31</v>
      </c>
      <c r="AE73" s="1012" t="s">
        <v>664</v>
      </c>
      <c r="AF73" s="1015">
        <f t="shared" si="5"/>
        <v>0</v>
      </c>
      <c r="AG73" s="1">
        <f t="shared" si="6"/>
        <v>1</v>
      </c>
    </row>
    <row r="74" spans="24:33" ht="30.75" customHeight="1" x14ac:dyDescent="0.3">
      <c r="X74" s="1018">
        <f t="shared" ref="X74:X110" si="7">X73+1</f>
        <v>71</v>
      </c>
      <c r="Y74" s="1019" t="e">
        <f t="shared" si="4"/>
        <v>#N/A</v>
      </c>
      <c r="AD74" s="1">
        <f>IF(AG74="","",COUNTIFS($AG$4:AG74,AG74))</f>
        <v>32</v>
      </c>
      <c r="AE74" s="1012" t="s">
        <v>258</v>
      </c>
      <c r="AF74" s="1015">
        <f t="shared" si="5"/>
        <v>0</v>
      </c>
      <c r="AG74" s="1">
        <f t="shared" si="6"/>
        <v>1</v>
      </c>
    </row>
    <row r="75" spans="24:33" ht="30.75" customHeight="1" x14ac:dyDescent="0.3">
      <c r="X75" s="1018">
        <f t="shared" si="7"/>
        <v>72</v>
      </c>
      <c r="Y75" s="1019" t="e">
        <f t="shared" si="4"/>
        <v>#N/A</v>
      </c>
      <c r="AD75" s="1">
        <f>IF(AG75="","",COUNTIFS($AG$4:AG75,AG75))</f>
        <v>33</v>
      </c>
      <c r="AE75" s="1012" t="s">
        <v>665</v>
      </c>
      <c r="AF75" s="1015">
        <f t="shared" si="5"/>
        <v>0</v>
      </c>
      <c r="AG75" s="1">
        <f t="shared" si="6"/>
        <v>1</v>
      </c>
    </row>
    <row r="76" spans="24:33" ht="30.75" customHeight="1" x14ac:dyDescent="0.3">
      <c r="X76" s="1018">
        <f t="shared" si="7"/>
        <v>73</v>
      </c>
      <c r="Y76" s="1019" t="e">
        <f t="shared" si="4"/>
        <v>#N/A</v>
      </c>
      <c r="AD76" s="1">
        <f>IF(AG76="","",COUNTIFS($AG$4:AG76,AG76))</f>
        <v>34</v>
      </c>
      <c r="AE76" s="1012" t="s">
        <v>666</v>
      </c>
      <c r="AF76" s="1015">
        <f t="shared" si="5"/>
        <v>0</v>
      </c>
      <c r="AG76" s="1">
        <f t="shared" si="6"/>
        <v>1</v>
      </c>
    </row>
    <row r="77" spans="24:33" ht="30.75" customHeight="1" x14ac:dyDescent="0.3">
      <c r="X77" s="1018">
        <f t="shared" si="7"/>
        <v>74</v>
      </c>
      <c r="Y77" s="1019" t="e">
        <f t="shared" si="4"/>
        <v>#N/A</v>
      </c>
      <c r="AD77" s="1">
        <f>IF(AG77="","",COUNTIFS($AG$4:AG77,AG77))</f>
        <v>35</v>
      </c>
      <c r="AE77" s="1012" t="s">
        <v>667</v>
      </c>
      <c r="AF77" s="1015">
        <f t="shared" si="5"/>
        <v>0</v>
      </c>
      <c r="AG77" s="1">
        <f t="shared" si="6"/>
        <v>1</v>
      </c>
    </row>
    <row r="78" spans="24:33" ht="30.75" customHeight="1" x14ac:dyDescent="0.3">
      <c r="X78" s="1018">
        <f t="shared" si="7"/>
        <v>75</v>
      </c>
      <c r="Y78" s="1019" t="e">
        <f t="shared" si="4"/>
        <v>#N/A</v>
      </c>
      <c r="AD78" s="1">
        <f>IF(AG78="","",COUNTIFS($AG$4:AG78,AG78))</f>
        <v>36</v>
      </c>
      <c r="AE78" s="1012" t="s">
        <v>668</v>
      </c>
      <c r="AF78" s="1015">
        <f t="shared" si="5"/>
        <v>0</v>
      </c>
      <c r="AG78" s="1">
        <f t="shared" si="6"/>
        <v>1</v>
      </c>
    </row>
    <row r="79" spans="24:33" ht="30.75" customHeight="1" x14ac:dyDescent="0.3">
      <c r="X79" s="1018">
        <f t="shared" si="7"/>
        <v>76</v>
      </c>
      <c r="Y79" s="1019" t="e">
        <f t="shared" si="4"/>
        <v>#N/A</v>
      </c>
      <c r="AD79" s="1">
        <f>IF(AG79="","",COUNTIFS($AG$4:AG79,AG79))</f>
        <v>37</v>
      </c>
      <c r="AE79" s="1012" t="s">
        <v>670</v>
      </c>
      <c r="AF79" s="1015">
        <f t="shared" si="5"/>
        <v>0</v>
      </c>
      <c r="AG79" s="1">
        <f t="shared" si="6"/>
        <v>1</v>
      </c>
    </row>
    <row r="80" spans="24:33" ht="30.75" customHeight="1" x14ac:dyDescent="0.3">
      <c r="X80" s="1018">
        <f t="shared" si="7"/>
        <v>77</v>
      </c>
      <c r="Y80" s="1019" t="e">
        <f t="shared" si="4"/>
        <v>#N/A</v>
      </c>
      <c r="AD80" s="1">
        <f>IF(AG80="","",COUNTIFS($AG$4:AG80,AG80))</f>
        <v>38</v>
      </c>
      <c r="AE80" s="1012" t="s">
        <v>669</v>
      </c>
      <c r="AF80" s="1015">
        <f t="shared" si="5"/>
        <v>0</v>
      </c>
      <c r="AG80" s="1">
        <f t="shared" si="6"/>
        <v>1</v>
      </c>
    </row>
    <row r="81" spans="24:33" ht="30.75" customHeight="1" x14ac:dyDescent="0.3">
      <c r="X81" s="1018">
        <f t="shared" si="7"/>
        <v>78</v>
      </c>
      <c r="Y81" s="1019" t="e">
        <f t="shared" si="4"/>
        <v>#N/A</v>
      </c>
      <c r="AD81" s="1">
        <f>IF(AG81="","",COUNTIFS($AG$4:AG81,AG81))</f>
        <v>39</v>
      </c>
      <c r="AE81" s="1012" t="s">
        <v>382</v>
      </c>
      <c r="AF81" s="1015">
        <f t="shared" si="5"/>
        <v>0</v>
      </c>
      <c r="AG81" s="1">
        <f t="shared" si="6"/>
        <v>1</v>
      </c>
    </row>
    <row r="82" spans="24:33" ht="30.75" customHeight="1" x14ac:dyDescent="0.3">
      <c r="X82" s="1018">
        <f t="shared" si="7"/>
        <v>79</v>
      </c>
      <c r="Y82" s="1019" t="e">
        <f t="shared" si="4"/>
        <v>#N/A</v>
      </c>
      <c r="AD82" s="1" t="str">
        <f>IF(AG82="","",COUNTIFS($AG$4:AG82,AG82))</f>
        <v/>
      </c>
      <c r="AE82" s="1012" t="s">
        <v>241</v>
      </c>
      <c r="AF82" s="1015">
        <f t="shared" si="5"/>
        <v>1</v>
      </c>
      <c r="AG82" s="1" t="str">
        <f t="shared" si="6"/>
        <v/>
      </c>
    </row>
    <row r="83" spans="24:33" ht="30.75" customHeight="1" x14ac:dyDescent="0.3">
      <c r="X83" s="1018">
        <f t="shared" si="7"/>
        <v>80</v>
      </c>
      <c r="Y83" s="1019" t="e">
        <f t="shared" si="4"/>
        <v>#N/A</v>
      </c>
      <c r="AD83" s="1" t="str">
        <f>IF(AG83="","",COUNTIFS($AG$4:AG83,AG83))</f>
        <v/>
      </c>
      <c r="AE83" s="1012" t="s">
        <v>661</v>
      </c>
      <c r="AF83" s="1015">
        <f t="shared" si="5"/>
        <v>1</v>
      </c>
      <c r="AG83" s="1" t="str">
        <f t="shared" si="6"/>
        <v/>
      </c>
    </row>
    <row r="84" spans="24:33" ht="30.75" customHeight="1" x14ac:dyDescent="0.3">
      <c r="X84" s="1018">
        <f t="shared" si="7"/>
        <v>81</v>
      </c>
      <c r="Y84" s="1019" t="e">
        <f t="shared" si="4"/>
        <v>#N/A</v>
      </c>
      <c r="AD84" s="1">
        <f>IF(AG84="","",COUNTIFS($AG$4:AG84,AG84))</f>
        <v>40</v>
      </c>
      <c r="AE84" s="1012" t="s">
        <v>414</v>
      </c>
      <c r="AF84" s="1015">
        <f t="shared" si="5"/>
        <v>0</v>
      </c>
      <c r="AG84" s="1">
        <f t="shared" si="6"/>
        <v>1</v>
      </c>
    </row>
    <row r="85" spans="24:33" ht="30.75" customHeight="1" x14ac:dyDescent="0.3">
      <c r="X85" s="1018">
        <f t="shared" si="7"/>
        <v>82</v>
      </c>
      <c r="Y85" s="1019" t="e">
        <f t="shared" si="4"/>
        <v>#N/A</v>
      </c>
      <c r="AD85" s="1">
        <f>IF(AG85="","",COUNTIFS($AG$4:AG85,AG85))</f>
        <v>41</v>
      </c>
      <c r="AE85" s="1012" t="s">
        <v>646</v>
      </c>
      <c r="AF85" s="1015">
        <f t="shared" si="5"/>
        <v>0</v>
      </c>
      <c r="AG85" s="1">
        <f t="shared" si="6"/>
        <v>1</v>
      </c>
    </row>
    <row r="86" spans="24:33" ht="30.75" customHeight="1" x14ac:dyDescent="0.3">
      <c r="X86" s="1018">
        <f t="shared" si="7"/>
        <v>83</v>
      </c>
      <c r="Y86" s="1019" t="e">
        <f t="shared" si="4"/>
        <v>#N/A</v>
      </c>
      <c r="AD86" s="1">
        <f>IF(AG86="","",COUNTIFS($AG$4:AG86,AG86))</f>
        <v>42</v>
      </c>
      <c r="AE86" s="1012" t="s">
        <v>652</v>
      </c>
      <c r="AF86" s="1015">
        <f t="shared" si="5"/>
        <v>0</v>
      </c>
      <c r="AG86" s="1">
        <f t="shared" si="6"/>
        <v>1</v>
      </c>
    </row>
    <row r="87" spans="24:33" ht="30.75" customHeight="1" x14ac:dyDescent="0.3">
      <c r="X87" s="1018">
        <f t="shared" si="7"/>
        <v>84</v>
      </c>
      <c r="Y87" s="1019" t="e">
        <f t="shared" si="4"/>
        <v>#N/A</v>
      </c>
      <c r="AD87" s="1">
        <f>IF(AG87="","",COUNTIFS($AG$4:AG87,AG87))</f>
        <v>43</v>
      </c>
      <c r="AE87" s="1012" t="s">
        <v>647</v>
      </c>
      <c r="AF87" s="1015">
        <f t="shared" si="5"/>
        <v>0</v>
      </c>
      <c r="AG87" s="1">
        <f t="shared" si="6"/>
        <v>1</v>
      </c>
    </row>
    <row r="88" spans="24:33" ht="30.75" customHeight="1" x14ac:dyDescent="0.3">
      <c r="X88" s="1018">
        <f t="shared" si="7"/>
        <v>85</v>
      </c>
      <c r="Y88" s="1019" t="e">
        <f t="shared" si="4"/>
        <v>#N/A</v>
      </c>
      <c r="AD88" s="1">
        <f>IF(AG88="","",COUNTIFS($AG$4:AG88,AG88))</f>
        <v>44</v>
      </c>
      <c r="AE88" s="1012" t="s">
        <v>653</v>
      </c>
      <c r="AF88" s="1015">
        <f t="shared" si="5"/>
        <v>0</v>
      </c>
      <c r="AG88" s="1">
        <f t="shared" si="6"/>
        <v>1</v>
      </c>
    </row>
    <row r="89" spans="24:33" ht="30.75" customHeight="1" x14ac:dyDescent="0.3">
      <c r="X89" s="1018">
        <f t="shared" si="7"/>
        <v>86</v>
      </c>
      <c r="Y89" s="1019" t="e">
        <f t="shared" si="4"/>
        <v>#N/A</v>
      </c>
      <c r="AD89" s="1">
        <f>IF(AG89="","",COUNTIFS($AG$4:AG89,AG89))</f>
        <v>45</v>
      </c>
      <c r="AE89" s="1012" t="s">
        <v>674</v>
      </c>
      <c r="AF89" s="1015">
        <f t="shared" si="5"/>
        <v>0</v>
      </c>
      <c r="AG89" s="1">
        <f t="shared" si="6"/>
        <v>1</v>
      </c>
    </row>
    <row r="90" spans="24:33" ht="30.75" customHeight="1" x14ac:dyDescent="0.3">
      <c r="X90" s="1018">
        <f t="shared" si="7"/>
        <v>87</v>
      </c>
      <c r="Y90" s="1019" t="e">
        <f t="shared" si="4"/>
        <v>#N/A</v>
      </c>
      <c r="AD90" s="1">
        <f>IF(AG90="","",COUNTIFS($AG$4:AG90,AG90))</f>
        <v>46</v>
      </c>
      <c r="AE90" s="1012" t="s">
        <v>675</v>
      </c>
      <c r="AF90" s="1015">
        <f t="shared" si="5"/>
        <v>0</v>
      </c>
      <c r="AG90" s="1">
        <f t="shared" si="6"/>
        <v>1</v>
      </c>
    </row>
    <row r="91" spans="24:33" ht="30.75" customHeight="1" x14ac:dyDescent="0.3">
      <c r="X91" s="1018">
        <f t="shared" si="7"/>
        <v>88</v>
      </c>
      <c r="Y91" s="1019" t="e">
        <f t="shared" si="4"/>
        <v>#N/A</v>
      </c>
      <c r="AD91" s="1">
        <f>IF(AG91="","",COUNTIFS($AG$4:AG91,AG91))</f>
        <v>47</v>
      </c>
      <c r="AE91" s="1012" t="s">
        <v>355</v>
      </c>
      <c r="AF91" s="1015">
        <f t="shared" si="5"/>
        <v>0</v>
      </c>
      <c r="AG91" s="1">
        <f t="shared" si="6"/>
        <v>1</v>
      </c>
    </row>
    <row r="92" spans="24:33" ht="30.75" customHeight="1" x14ac:dyDescent="0.3">
      <c r="X92" s="1018">
        <f t="shared" si="7"/>
        <v>89</v>
      </c>
      <c r="Y92" s="1019" t="e">
        <f t="shared" si="4"/>
        <v>#N/A</v>
      </c>
      <c r="AD92" s="1" t="str">
        <f>IF(AG92="","",COUNTIFS($AG$4:AG92,AG92))</f>
        <v/>
      </c>
      <c r="AE92" s="1012" t="s">
        <v>468</v>
      </c>
      <c r="AF92" s="1015">
        <f t="shared" si="5"/>
        <v>1</v>
      </c>
      <c r="AG92" s="1" t="str">
        <f t="shared" si="6"/>
        <v/>
      </c>
    </row>
    <row r="93" spans="24:33" ht="30.75" customHeight="1" x14ac:dyDescent="0.3">
      <c r="X93" s="1018">
        <f t="shared" si="7"/>
        <v>90</v>
      </c>
      <c r="Y93" s="1019" t="e">
        <f t="shared" si="4"/>
        <v>#N/A</v>
      </c>
      <c r="AD93" s="1">
        <f>IF(AG93="","",COUNTIFS($AG$4:AG93,AG93))</f>
        <v>48</v>
      </c>
      <c r="AE93" s="1012" t="s">
        <v>676</v>
      </c>
      <c r="AF93" s="1015">
        <f t="shared" si="5"/>
        <v>0</v>
      </c>
      <c r="AG93" s="1">
        <f t="shared" si="6"/>
        <v>1</v>
      </c>
    </row>
    <row r="94" spans="24:33" ht="30.75" customHeight="1" x14ac:dyDescent="0.3">
      <c r="X94" s="1018">
        <f t="shared" si="7"/>
        <v>91</v>
      </c>
      <c r="Y94" s="1019" t="e">
        <f t="shared" si="4"/>
        <v>#N/A</v>
      </c>
      <c r="AD94" s="1">
        <f>IF(AG94="","",COUNTIFS($AG$4:AG94,AG94))</f>
        <v>49</v>
      </c>
      <c r="AE94" s="1012" t="s">
        <v>594</v>
      </c>
      <c r="AF94" s="1015">
        <f t="shared" si="5"/>
        <v>0</v>
      </c>
      <c r="AG94" s="1">
        <f t="shared" si="6"/>
        <v>1</v>
      </c>
    </row>
    <row r="95" spans="24:33" ht="30.75" customHeight="1" x14ac:dyDescent="0.3">
      <c r="X95" s="1018">
        <f t="shared" si="7"/>
        <v>92</v>
      </c>
      <c r="Y95" s="1019" t="e">
        <f t="shared" si="4"/>
        <v>#N/A</v>
      </c>
      <c r="AD95" s="1">
        <f>IF(AG95="","",COUNTIFS($AG$4:AG95,AG95))</f>
        <v>50</v>
      </c>
      <c r="AE95" s="1012" t="s">
        <v>677</v>
      </c>
      <c r="AF95" s="1015">
        <f t="shared" si="5"/>
        <v>0</v>
      </c>
      <c r="AG95" s="1">
        <f t="shared" si="6"/>
        <v>1</v>
      </c>
    </row>
    <row r="96" spans="24:33" ht="30.75" customHeight="1" x14ac:dyDescent="0.3">
      <c r="X96" s="1018">
        <f t="shared" si="7"/>
        <v>93</v>
      </c>
      <c r="Y96" s="1019" t="e">
        <f t="shared" si="4"/>
        <v>#N/A</v>
      </c>
      <c r="AD96" s="1">
        <f>IF(AG96="","",COUNTIFS($AG$4:AG96,AG96))</f>
        <v>51</v>
      </c>
      <c r="AE96" s="1012" t="s">
        <v>678</v>
      </c>
      <c r="AF96" s="1015">
        <f t="shared" si="5"/>
        <v>0</v>
      </c>
      <c r="AG96" s="1">
        <f t="shared" si="6"/>
        <v>1</v>
      </c>
    </row>
    <row r="97" spans="24:33" ht="30.75" customHeight="1" x14ac:dyDescent="0.3">
      <c r="X97" s="1018">
        <f t="shared" si="7"/>
        <v>94</v>
      </c>
      <c r="Y97" s="1019" t="e">
        <f t="shared" si="4"/>
        <v>#N/A</v>
      </c>
      <c r="AD97" s="1">
        <f>IF(AG97="","",COUNTIFS($AG$4:AG97,AG97))</f>
        <v>52</v>
      </c>
      <c r="AE97" s="1012" t="s">
        <v>51</v>
      </c>
      <c r="AF97" s="1015">
        <f t="shared" si="5"/>
        <v>0</v>
      </c>
      <c r="AG97" s="1">
        <f t="shared" si="6"/>
        <v>1</v>
      </c>
    </row>
    <row r="98" spans="24:33" ht="30.75" customHeight="1" x14ac:dyDescent="0.3">
      <c r="X98" s="1018">
        <f t="shared" si="7"/>
        <v>95</v>
      </c>
      <c r="Y98" s="1019" t="e">
        <f t="shared" si="4"/>
        <v>#N/A</v>
      </c>
      <c r="AD98" s="1" t="str">
        <f>IF(AG98="","",COUNTIFS($AG$4:AG98,AG98))</f>
        <v/>
      </c>
      <c r="AE98" s="1012" t="s">
        <v>80</v>
      </c>
      <c r="AF98" s="1015">
        <f t="shared" si="5"/>
        <v>1</v>
      </c>
      <c r="AG98" s="1" t="str">
        <f t="shared" si="6"/>
        <v/>
      </c>
    </row>
    <row r="99" spans="24:33" ht="30.75" customHeight="1" x14ac:dyDescent="0.3">
      <c r="X99" s="1018">
        <f t="shared" si="7"/>
        <v>96</v>
      </c>
      <c r="Y99" s="1019" t="e">
        <f t="shared" si="4"/>
        <v>#N/A</v>
      </c>
      <c r="AD99" s="1" t="str">
        <f>IF(AG99="","",COUNTIFS($AG$4:AG99,AG99))</f>
        <v/>
      </c>
      <c r="AE99" s="1012" t="s">
        <v>79</v>
      </c>
      <c r="AF99" s="1015">
        <f t="shared" si="5"/>
        <v>1</v>
      </c>
      <c r="AG99" s="1" t="str">
        <f t="shared" si="6"/>
        <v/>
      </c>
    </row>
    <row r="100" spans="24:33" ht="30.75" customHeight="1" x14ac:dyDescent="0.3">
      <c r="X100" s="1018">
        <f t="shared" si="7"/>
        <v>97</v>
      </c>
      <c r="Y100" s="1019" t="e">
        <f t="shared" si="4"/>
        <v>#N/A</v>
      </c>
      <c r="AD100" s="1">
        <f>IF(AG100="","",COUNTIFS($AG$4:AG100,AG100))</f>
        <v>53</v>
      </c>
      <c r="AE100" s="1012" t="s">
        <v>37</v>
      </c>
      <c r="AF100" s="1015">
        <f t="shared" si="5"/>
        <v>0</v>
      </c>
      <c r="AG100" s="1">
        <f t="shared" si="6"/>
        <v>1</v>
      </c>
    </row>
    <row r="101" spans="24:33" ht="30.75" customHeight="1" x14ac:dyDescent="0.3">
      <c r="X101" s="1018">
        <f t="shared" si="7"/>
        <v>98</v>
      </c>
      <c r="Y101" s="1019" t="e">
        <f t="shared" si="4"/>
        <v>#N/A</v>
      </c>
      <c r="AD101" s="1">
        <f>IF(AG101="","",COUNTIFS($AG$4:AG101,AG101))</f>
        <v>54</v>
      </c>
      <c r="AE101" s="1012" t="s">
        <v>469</v>
      </c>
      <c r="AF101" s="1015">
        <f t="shared" si="5"/>
        <v>0</v>
      </c>
      <c r="AG101" s="1">
        <f t="shared" si="6"/>
        <v>1</v>
      </c>
    </row>
    <row r="102" spans="24:33" ht="30.75" customHeight="1" x14ac:dyDescent="0.3">
      <c r="X102" s="1018">
        <f t="shared" si="7"/>
        <v>99</v>
      </c>
      <c r="Y102" s="1019" t="e">
        <f t="shared" si="4"/>
        <v>#N/A</v>
      </c>
      <c r="AD102" s="1" t="str">
        <f>IF(AG102="","",COUNTIFS($AG$4:AG102,AG102))</f>
        <v/>
      </c>
      <c r="AE102" s="1012" t="s">
        <v>22</v>
      </c>
      <c r="AF102" s="1015">
        <f t="shared" si="5"/>
        <v>1</v>
      </c>
      <c r="AG102" s="1" t="str">
        <f t="shared" si="6"/>
        <v/>
      </c>
    </row>
    <row r="103" spans="24:33" ht="30.75" customHeight="1" x14ac:dyDescent="0.3">
      <c r="X103" s="1018">
        <f t="shared" si="7"/>
        <v>100</v>
      </c>
      <c r="Y103" s="1019" t="e">
        <f t="shared" si="4"/>
        <v>#N/A</v>
      </c>
      <c r="AD103" s="1">
        <f>IF(AG103="","",COUNTIFS($AG$4:AG103,AG103))</f>
        <v>55</v>
      </c>
      <c r="AE103" s="1012" t="s">
        <v>679</v>
      </c>
      <c r="AF103" s="1015">
        <f t="shared" si="5"/>
        <v>0</v>
      </c>
      <c r="AG103" s="1">
        <f t="shared" si="6"/>
        <v>1</v>
      </c>
    </row>
    <row r="104" spans="24:33" ht="30.75" customHeight="1" x14ac:dyDescent="0.3">
      <c r="X104" s="1018">
        <f t="shared" si="7"/>
        <v>101</v>
      </c>
      <c r="Y104" s="1019" t="e">
        <f t="shared" si="4"/>
        <v>#N/A</v>
      </c>
      <c r="AD104" s="1">
        <f>IF(AG104="","",COUNTIFS($AG$4:AG104,AG104))</f>
        <v>56</v>
      </c>
      <c r="AE104" s="1012" t="s">
        <v>680</v>
      </c>
      <c r="AF104" s="1015">
        <f t="shared" si="5"/>
        <v>0</v>
      </c>
      <c r="AG104" s="1">
        <f t="shared" si="6"/>
        <v>1</v>
      </c>
    </row>
    <row r="105" spans="24:33" ht="30.75" customHeight="1" x14ac:dyDescent="0.3">
      <c r="X105" s="1018">
        <f t="shared" si="7"/>
        <v>102</v>
      </c>
      <c r="Y105" s="1019" t="e">
        <f t="shared" si="4"/>
        <v>#N/A</v>
      </c>
      <c r="AD105" s="1" t="str">
        <f>IF(AG105="","",COUNTIFS($AG$4:AG105,AG105))</f>
        <v/>
      </c>
      <c r="AE105" s="1012" t="s">
        <v>47</v>
      </c>
      <c r="AF105" s="1015">
        <f t="shared" si="5"/>
        <v>1</v>
      </c>
      <c r="AG105" s="1" t="str">
        <f t="shared" si="6"/>
        <v/>
      </c>
    </row>
    <row r="106" spans="24:33" ht="30.75" customHeight="1" x14ac:dyDescent="0.3">
      <c r="X106" s="1018">
        <f t="shared" si="7"/>
        <v>103</v>
      </c>
      <c r="Y106" s="1019" t="e">
        <f t="shared" si="4"/>
        <v>#N/A</v>
      </c>
      <c r="AD106" s="1">
        <f>IF(AG106="","",COUNTIFS($AG$4:AG106,AG106))</f>
        <v>57</v>
      </c>
      <c r="AE106" s="1012" t="s">
        <v>296</v>
      </c>
      <c r="AF106" s="1015">
        <f t="shared" si="5"/>
        <v>0</v>
      </c>
      <c r="AG106" s="1">
        <f t="shared" si="6"/>
        <v>1</v>
      </c>
    </row>
    <row r="107" spans="24:33" ht="30.75" customHeight="1" x14ac:dyDescent="0.3">
      <c r="X107" s="1018">
        <f t="shared" si="7"/>
        <v>104</v>
      </c>
      <c r="Y107" s="1019" t="e">
        <f t="shared" si="4"/>
        <v>#N/A</v>
      </c>
      <c r="AD107" s="1" t="str">
        <f>IF(AG107="","",COUNTIFS($AG$4:AG107,AG107))</f>
        <v/>
      </c>
      <c r="AE107" s="1012" t="s">
        <v>458</v>
      </c>
      <c r="AF107" s="1015">
        <f t="shared" si="5"/>
        <v>1</v>
      </c>
      <c r="AG107" s="1" t="str">
        <f t="shared" si="6"/>
        <v/>
      </c>
    </row>
    <row r="108" spans="24:33" ht="30.75" customHeight="1" x14ac:dyDescent="0.3">
      <c r="X108" s="1018">
        <f t="shared" si="7"/>
        <v>105</v>
      </c>
      <c r="Y108" s="1019" t="e">
        <f t="shared" si="4"/>
        <v>#N/A</v>
      </c>
      <c r="AD108" s="1">
        <f>IF(AG108="","",COUNTIFS($AG$4:AG108,AG108))</f>
        <v>58</v>
      </c>
      <c r="AE108" s="1012" t="s">
        <v>462</v>
      </c>
      <c r="AF108" s="1015">
        <f t="shared" si="5"/>
        <v>0</v>
      </c>
      <c r="AG108" s="1">
        <f t="shared" si="6"/>
        <v>1</v>
      </c>
    </row>
    <row r="109" spans="24:33" ht="30.75" customHeight="1" x14ac:dyDescent="0.3">
      <c r="X109" s="1018">
        <f t="shared" si="7"/>
        <v>106</v>
      </c>
      <c r="Y109" s="1019" t="e">
        <f t="shared" si="4"/>
        <v>#N/A</v>
      </c>
      <c r="AD109" s="1">
        <f>IF(AG109="","",COUNTIFS($AG$4:AG109,AG109))</f>
        <v>59</v>
      </c>
      <c r="AE109" s="1012" t="s">
        <v>683</v>
      </c>
      <c r="AF109" s="1015">
        <f t="shared" si="5"/>
        <v>0</v>
      </c>
      <c r="AG109" s="1">
        <f t="shared" si="6"/>
        <v>1</v>
      </c>
    </row>
    <row r="110" spans="24:33" ht="30.75" customHeight="1" x14ac:dyDescent="0.3">
      <c r="X110" s="1018">
        <f t="shared" si="7"/>
        <v>107</v>
      </c>
      <c r="Y110" s="1019" t="e">
        <f t="shared" si="4"/>
        <v>#N/A</v>
      </c>
      <c r="AB110"/>
      <c r="AC110"/>
      <c r="AD110" s="1" t="str">
        <f>IF(AG110="","",COUNTIFS($AG$4:AG110,AG110))</f>
        <v/>
      </c>
      <c r="AE110" s="1012" t="s">
        <v>729</v>
      </c>
      <c r="AF110" s="1015">
        <f t="shared" si="5"/>
        <v>1</v>
      </c>
      <c r="AG110" s="1" t="str">
        <f t="shared" si="6"/>
        <v/>
      </c>
    </row>
    <row r="111" spans="24:33" ht="30.75" customHeight="1" x14ac:dyDescent="0.3">
      <c r="X111"/>
      <c r="Y111"/>
      <c r="AB111"/>
      <c r="AC111"/>
      <c r="AD111"/>
      <c r="AE111"/>
      <c r="AF111"/>
      <c r="AG111"/>
    </row>
    <row r="112" spans="24:33" ht="30.75" customHeight="1" x14ac:dyDescent="0.3">
      <c r="X112"/>
      <c r="Y112"/>
      <c r="AB112"/>
      <c r="AC112"/>
      <c r="AD112"/>
      <c r="AE112"/>
      <c r="AF112"/>
      <c r="AG112"/>
    </row>
    <row r="113" spans="24:33" ht="30.75" customHeight="1" x14ac:dyDescent="0.3">
      <c r="X113"/>
      <c r="Y113"/>
      <c r="AB113"/>
      <c r="AC113"/>
      <c r="AD113"/>
      <c r="AE113"/>
      <c r="AF113"/>
      <c r="AG113"/>
    </row>
    <row r="114" spans="24:33" ht="30.75" customHeight="1" x14ac:dyDescent="0.3">
      <c r="X114"/>
      <c r="Y114"/>
      <c r="AB114"/>
      <c r="AC114"/>
      <c r="AD114"/>
      <c r="AE114"/>
      <c r="AF114"/>
      <c r="AG114"/>
    </row>
    <row r="115" spans="24:33" ht="30.75" customHeight="1" x14ac:dyDescent="0.3">
      <c r="X115"/>
      <c r="Y115"/>
      <c r="AB115"/>
      <c r="AC115"/>
      <c r="AD115"/>
      <c r="AE115"/>
      <c r="AF115"/>
      <c r="AG115"/>
    </row>
    <row r="116" spans="24:33" ht="30.75" customHeight="1" x14ac:dyDescent="0.3">
      <c r="AE116" s="1012"/>
    </row>
    <row r="117" spans="24:33" ht="30.75" customHeight="1" x14ac:dyDescent="0.3">
      <c r="AE117" s="1012"/>
    </row>
    <row r="118" spans="24:33" ht="30.75" customHeight="1" x14ac:dyDescent="0.3">
      <c r="AE118" s="1012"/>
    </row>
    <row r="119" spans="24:33" ht="30.75" customHeight="1" x14ac:dyDescent="0.3">
      <c r="AE119" s="1012"/>
    </row>
    <row r="120" spans="24:33" ht="30.75" customHeight="1" x14ac:dyDescent="0.3">
      <c r="AE120" s="1012"/>
    </row>
    <row r="121" spans="24:33" ht="30.75" customHeight="1" x14ac:dyDescent="0.3">
      <c r="AE121" s="1012"/>
    </row>
    <row r="122" spans="24:33" ht="30.75" customHeight="1" x14ac:dyDescent="0.3">
      <c r="AE122" s="1012"/>
    </row>
    <row r="123" spans="24:33" ht="30.75" customHeight="1" x14ac:dyDescent="0.3">
      <c r="AE123" s="1012"/>
    </row>
    <row r="124" spans="24:33" ht="30.75" customHeight="1" x14ac:dyDescent="0.3">
      <c r="AE124" s="1012"/>
    </row>
    <row r="125" spans="24:33" ht="30.75" customHeight="1" x14ac:dyDescent="0.3">
      <c r="AE125" s="1012"/>
    </row>
    <row r="126" spans="24:33" ht="30.75" customHeight="1" x14ac:dyDescent="0.3">
      <c r="AE126" s="1012"/>
    </row>
    <row r="127" spans="24:33" ht="30.75" customHeight="1" x14ac:dyDescent="0.3">
      <c r="AE127" s="1012"/>
    </row>
    <row r="128" spans="24:33" ht="30.75" customHeight="1" x14ac:dyDescent="0.3">
      <c r="AE128" s="1012"/>
    </row>
    <row r="129" spans="31:31" ht="30.75" customHeight="1" x14ac:dyDescent="0.3">
      <c r="AE129" s="1012"/>
    </row>
    <row r="130" spans="31:31" ht="30.75" customHeight="1" x14ac:dyDescent="0.3">
      <c r="AE130" s="1012"/>
    </row>
    <row r="131" spans="31:31" ht="30.75" customHeight="1" x14ac:dyDescent="0.3">
      <c r="AE131" s="1012"/>
    </row>
    <row r="132" spans="31:31" ht="30.75" customHeight="1" x14ac:dyDescent="0.3">
      <c r="AE132" s="1012"/>
    </row>
    <row r="133" spans="31:31" ht="30.75" customHeight="1" x14ac:dyDescent="0.3">
      <c r="AE133" s="1012"/>
    </row>
    <row r="134" spans="31:31" ht="30.75" customHeight="1" x14ac:dyDescent="0.3">
      <c r="AE134" s="1012"/>
    </row>
    <row r="135" spans="31:31" ht="30.75" customHeight="1" x14ac:dyDescent="0.3">
      <c r="AE135" s="1012"/>
    </row>
    <row r="136" spans="31:31" ht="30.75" customHeight="1" x14ac:dyDescent="0.3">
      <c r="AE136" s="1012"/>
    </row>
    <row r="137" spans="31:31" ht="30.75" customHeight="1" x14ac:dyDescent="0.3">
      <c r="AE137" s="1012"/>
    </row>
    <row r="138" spans="31:31" ht="30.75" customHeight="1" x14ac:dyDescent="0.3">
      <c r="AE138" s="1012"/>
    </row>
    <row r="139" spans="31:31" ht="30.75" customHeight="1" x14ac:dyDescent="0.3">
      <c r="AE139" s="1012"/>
    </row>
    <row r="140" spans="31:31" ht="30.75" customHeight="1" x14ac:dyDescent="0.3">
      <c r="AE140" s="1012"/>
    </row>
    <row r="141" spans="31:31" ht="30.75" customHeight="1" x14ac:dyDescent="0.3">
      <c r="AE141" s="1012"/>
    </row>
    <row r="142" spans="31:31" ht="30.75" customHeight="1" x14ac:dyDescent="0.3">
      <c r="AE142" s="1012"/>
    </row>
    <row r="143" spans="31:31" ht="30.75" customHeight="1" x14ac:dyDescent="0.3">
      <c r="AE143" s="1012"/>
    </row>
    <row r="144" spans="31:31" ht="30.75" customHeight="1" x14ac:dyDescent="0.3">
      <c r="AE144" s="1012"/>
    </row>
    <row r="145" spans="31:31" ht="30.75" customHeight="1" x14ac:dyDescent="0.3">
      <c r="AE145" s="1012"/>
    </row>
    <row r="146" spans="31:31" ht="30.75" customHeight="1" x14ac:dyDescent="0.3">
      <c r="AE146" s="1012"/>
    </row>
    <row r="147" spans="31:31" ht="30.75" customHeight="1" x14ac:dyDescent="0.3">
      <c r="AE147" s="1012"/>
    </row>
    <row r="148" spans="31:31" ht="30.75" customHeight="1" x14ac:dyDescent="0.3">
      <c r="AE148" s="1012"/>
    </row>
    <row r="149" spans="31:31" ht="30.75" customHeight="1" x14ac:dyDescent="0.3">
      <c r="AE149" s="1012"/>
    </row>
    <row r="150" spans="31:31" ht="30.75" customHeight="1" x14ac:dyDescent="0.3">
      <c r="AE150" s="1012"/>
    </row>
    <row r="151" spans="31:31" ht="30.75" customHeight="1" x14ac:dyDescent="0.3">
      <c r="AE151" s="1012"/>
    </row>
    <row r="152" spans="31:31" ht="30.75" customHeight="1" x14ac:dyDescent="0.3">
      <c r="AE152" s="1012"/>
    </row>
    <row r="153" spans="31:31" ht="30.75" customHeight="1" x14ac:dyDescent="0.3">
      <c r="AE153" s="1012"/>
    </row>
    <row r="154" spans="31:31" ht="30.75" customHeight="1" x14ac:dyDescent="0.3">
      <c r="AE154" s="1012"/>
    </row>
    <row r="155" spans="31:31" ht="30.75" customHeight="1" x14ac:dyDescent="0.3">
      <c r="AE155" s="1012"/>
    </row>
    <row r="156" spans="31:31" ht="30.75" customHeight="1" x14ac:dyDescent="0.3">
      <c r="AE156" s="1012"/>
    </row>
    <row r="157" spans="31:31" ht="30.75" customHeight="1" x14ac:dyDescent="0.3">
      <c r="AE157" s="1012"/>
    </row>
    <row r="158" spans="31:31" ht="30.75" customHeight="1" x14ac:dyDescent="0.3">
      <c r="AE158" s="1012"/>
    </row>
    <row r="159" spans="31:31" ht="30.75" customHeight="1" x14ac:dyDescent="0.3">
      <c r="AE159" s="1012"/>
    </row>
    <row r="160" spans="31:31" ht="30.75" customHeight="1" x14ac:dyDescent="0.3">
      <c r="AE160" s="1012"/>
    </row>
    <row r="161" spans="31:31" ht="30.75" customHeight="1" x14ac:dyDescent="0.3">
      <c r="AE161" s="1012"/>
    </row>
    <row r="162" spans="31:31" ht="30.75" customHeight="1" x14ac:dyDescent="0.3">
      <c r="AE162" s="1012"/>
    </row>
    <row r="163" spans="31:31" ht="30.75" customHeight="1" x14ac:dyDescent="0.3">
      <c r="AE163" s="1012"/>
    </row>
    <row r="164" spans="31:31" ht="30.75" customHeight="1" x14ac:dyDescent="0.3">
      <c r="AE164" s="1012"/>
    </row>
    <row r="165" spans="31:31" ht="30.75" customHeight="1" x14ac:dyDescent="0.3">
      <c r="AE165" s="1012"/>
    </row>
    <row r="166" spans="31:31" ht="30.75" customHeight="1" x14ac:dyDescent="0.3">
      <c r="AE166" s="1012"/>
    </row>
    <row r="167" spans="31:31" ht="30.75" customHeight="1" x14ac:dyDescent="0.3">
      <c r="AE167" s="1012"/>
    </row>
    <row r="168" spans="31:31" ht="30.75" customHeight="1" x14ac:dyDescent="0.3">
      <c r="AE168" s="1012"/>
    </row>
    <row r="169" spans="31:31" ht="30.75" customHeight="1" x14ac:dyDescent="0.3">
      <c r="AE169" s="1012"/>
    </row>
    <row r="170" spans="31:31" ht="30.75" customHeight="1" x14ac:dyDescent="0.3">
      <c r="AE170" s="1012"/>
    </row>
    <row r="171" spans="31:31" ht="30.75" customHeight="1" x14ac:dyDescent="0.3">
      <c r="AE171" s="1012"/>
    </row>
    <row r="172" spans="31:31" ht="30.75" customHeight="1" x14ac:dyDescent="0.3">
      <c r="AE172" s="1012"/>
    </row>
    <row r="173" spans="31:31" ht="30.75" customHeight="1" x14ac:dyDescent="0.3">
      <c r="AE173" s="1012"/>
    </row>
    <row r="174" spans="31:31" ht="30.75" customHeight="1" x14ac:dyDescent="0.3">
      <c r="AE174" s="1012"/>
    </row>
    <row r="175" spans="31:31" ht="30.75" customHeight="1" x14ac:dyDescent="0.3">
      <c r="AE175" s="1012"/>
    </row>
    <row r="176" spans="31:31" ht="30.75" customHeight="1" x14ac:dyDescent="0.3">
      <c r="AE176" s="1012"/>
    </row>
    <row r="177" spans="31:31" ht="30.75" customHeight="1" x14ac:dyDescent="0.3">
      <c r="AE177" s="1012"/>
    </row>
    <row r="178" spans="31:31" ht="30.75" customHeight="1" x14ac:dyDescent="0.3">
      <c r="AE178" s="1012"/>
    </row>
    <row r="179" spans="31:31" ht="30.75" customHeight="1" x14ac:dyDescent="0.3">
      <c r="AE179" s="1012"/>
    </row>
    <row r="180" spans="31:31" ht="30.75" customHeight="1" x14ac:dyDescent="0.3">
      <c r="AE180" s="1012"/>
    </row>
    <row r="181" spans="31:31" ht="30.75" customHeight="1" x14ac:dyDescent="0.3">
      <c r="AE181" s="1012"/>
    </row>
    <row r="182" spans="31:31" ht="30.75" customHeight="1" x14ac:dyDescent="0.3">
      <c r="AE182" s="1012"/>
    </row>
    <row r="183" spans="31:31" ht="30.75" customHeight="1" x14ac:dyDescent="0.3">
      <c r="AE183" s="1012"/>
    </row>
    <row r="184" spans="31:31" ht="30.75" customHeight="1" x14ac:dyDescent="0.3">
      <c r="AE184" s="1012"/>
    </row>
    <row r="185" spans="31:31" ht="30.75" customHeight="1" x14ac:dyDescent="0.3">
      <c r="AE185" s="1012"/>
    </row>
    <row r="186" spans="31:31" ht="30.75" customHeight="1" x14ac:dyDescent="0.3">
      <c r="AE186" s="1012"/>
    </row>
    <row r="187" spans="31:31" ht="30.75" customHeight="1" x14ac:dyDescent="0.3">
      <c r="AE187" s="1012"/>
    </row>
    <row r="188" spans="31:31" ht="30.75" customHeight="1" x14ac:dyDescent="0.3">
      <c r="AE188" s="1012"/>
    </row>
    <row r="189" spans="31:31" ht="30.75" customHeight="1" x14ac:dyDescent="0.3">
      <c r="AE189" s="1012"/>
    </row>
  </sheetData>
  <mergeCells count="41">
    <mergeCell ref="B1:V1"/>
    <mergeCell ref="C4:F4"/>
    <mergeCell ref="G4:J4"/>
    <mergeCell ref="K4:N4"/>
    <mergeCell ref="O4:R4"/>
    <mergeCell ref="S4:V4"/>
    <mergeCell ref="S9:V9"/>
    <mergeCell ref="B10:B11"/>
    <mergeCell ref="B14:B17"/>
    <mergeCell ref="C17:F17"/>
    <mergeCell ref="G17:J17"/>
    <mergeCell ref="K17:N17"/>
    <mergeCell ref="O17:R17"/>
    <mergeCell ref="S17:V17"/>
    <mergeCell ref="B6:B9"/>
    <mergeCell ref="C9:F9"/>
    <mergeCell ref="G9:J9"/>
    <mergeCell ref="K9:N9"/>
    <mergeCell ref="O9:R9"/>
    <mergeCell ref="S33:V33"/>
    <mergeCell ref="O25:R25"/>
    <mergeCell ref="B18:B19"/>
    <mergeCell ref="B22:B25"/>
    <mergeCell ref="C25:F25"/>
    <mergeCell ref="G25:J25"/>
    <mergeCell ref="K25:N25"/>
    <mergeCell ref="S41:V41"/>
    <mergeCell ref="B42:B43"/>
    <mergeCell ref="B34:B35"/>
    <mergeCell ref="B38:B41"/>
    <mergeCell ref="C41:F41"/>
    <mergeCell ref="G41:J41"/>
    <mergeCell ref="K41:N41"/>
    <mergeCell ref="O41:R41"/>
    <mergeCell ref="S25:V25"/>
    <mergeCell ref="B26:B27"/>
    <mergeCell ref="B30:B33"/>
    <mergeCell ref="C33:F33"/>
    <mergeCell ref="G33:J33"/>
    <mergeCell ref="K33:N33"/>
    <mergeCell ref="O33:R33"/>
  </mergeCells>
  <phoneticPr fontId="2" type="noConversion"/>
  <conditionalFormatting sqref="X73">
    <cfRule type="containsText" dxfId="33" priority="2" operator="containsText" text="더베스트 김효제">
      <formula>NOT(ISERROR(SEARCH("더베스트 김효제",X73)))</formula>
    </cfRule>
    <cfRule type="containsText" dxfId="32" priority="3" operator="containsText" text="트루">
      <formula>NOT(ISERROR(SEARCH("트루",X73)))</formula>
    </cfRule>
    <cfRule type="containsText" dxfId="31" priority="4" operator="containsText" text="현대홈">
      <formula>NOT(ISERROR(SEARCH("현대홈",X73)))</formula>
    </cfRule>
  </conditionalFormatting>
  <conditionalFormatting sqref="AB48:AC70">
    <cfRule type="containsText" dxfId="30" priority="8" operator="containsText" text="더베스트 김효제">
      <formula>NOT(ISERROR(SEARCH("더베스트 김효제",AB48)))</formula>
    </cfRule>
    <cfRule type="containsText" dxfId="29" priority="9" operator="containsText" text="트루">
      <formula>NOT(ISERROR(SEARCH("트루",AB48)))</formula>
    </cfRule>
    <cfRule type="containsText" dxfId="28" priority="10" operator="containsText" text="현대홈">
      <formula>NOT(ISERROR(SEARCH("현대홈",AB48)))</formula>
    </cfRule>
  </conditionalFormatting>
  <conditionalFormatting sqref="AE1:AG45 X1:X111 AB22:AC44 AE46:AE56 AG46:AG111 AF46:AF189">
    <cfRule type="containsText" dxfId="27" priority="15" operator="containsText" text="더베스트 김효제">
      <formula>NOT(ISERROR(SEARCH("더베스트 김효제",X1)))</formula>
    </cfRule>
    <cfRule type="containsText" dxfId="26" priority="16" operator="containsText" text="트루">
      <formula>NOT(ISERROR(SEARCH("트루",X1)))</formula>
    </cfRule>
    <cfRule type="containsText" dxfId="25" priority="17" operator="containsText" text="현대홈">
      <formula>NOT(ISERROR(SEARCH("현대홈",X1)))</formula>
    </cfRule>
  </conditionalFormatting>
  <conditionalFormatting sqref="AF4:AF109">
    <cfRule type="cellIs" dxfId="24" priority="1" operator="equal">
      <formula>0</formula>
    </cfRule>
  </conditionalFormatting>
  <conditionalFormatting sqref="AF46:AF55">
    <cfRule type="containsText" dxfId="23" priority="12" operator="containsText" text="트루">
      <formula>NOT(ISERROR(SEARCH("트루",AF46)))</formula>
    </cfRule>
    <cfRule type="containsText" dxfId="22" priority="13" operator="containsText" text="현대홈">
      <formula>NOT(ISERROR(SEARCH("현대홈",AF46)))</formula>
    </cfRule>
  </conditionalFormatting>
  <conditionalFormatting sqref="AF46:AF109">
    <cfRule type="containsText" dxfId="21" priority="11" operator="containsText" text="더베스트 김효제">
      <formula>NOT(ISERROR(SEARCH("더베스트 김효제",AF46)))</formula>
    </cfRule>
  </conditionalFormatting>
  <conditionalFormatting sqref="AF53:AF109">
    <cfRule type="containsText" dxfId="20" priority="5" operator="containsText" text="더베스트 김효제">
      <formula>NOT(ISERROR(SEARCH("더베스트 김효제",AF53)))</formula>
    </cfRule>
    <cfRule type="containsText" dxfId="19" priority="6" operator="containsText" text="트루">
      <formula>NOT(ISERROR(SEARCH("트루",AF53)))</formula>
    </cfRule>
    <cfRule type="containsText" dxfId="18" priority="7" operator="containsText" text="현대홈">
      <formula>NOT(ISERROR(SEARCH("현대홈",AF53)))</formula>
    </cfRule>
  </conditionalFormatting>
  <conditionalFormatting sqref="AF1:AG1048576 AB19:AE1048576 X1:X1048576 AB1:AC3 AD1:AE18 AB5:AC18">
    <cfRule type="containsText" dxfId="17" priority="14" operator="containsText" text="더베스트 이재명">
      <formula>NOT(ISERROR(SEARCH("더베스트 이재명",X1)))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6292-97C4-4C87-A624-816F5377F75E}">
  <sheetPr>
    <tabColor rgb="FFC00000"/>
  </sheetPr>
  <dimension ref="B1:AH189"/>
  <sheetViews>
    <sheetView showGridLines="0" topLeftCell="A2" zoomScale="55" zoomScaleNormal="55" workbookViewId="0">
      <selection activeCell="G25" sqref="G25:J25"/>
    </sheetView>
  </sheetViews>
  <sheetFormatPr defaultRowHeight="30.75" customHeight="1" x14ac:dyDescent="0.3"/>
  <cols>
    <col min="1" max="1" width="4.125" style="1" customWidth="1"/>
    <col min="2" max="2" width="14" style="1" customWidth="1"/>
    <col min="3" max="3" width="8.375" style="1" customWidth="1"/>
    <col min="4" max="4" width="25.375" style="1" customWidth="1"/>
    <col min="5" max="6" width="9.125" style="1" customWidth="1"/>
    <col min="7" max="7" width="7.75" style="1" customWidth="1"/>
    <col min="8" max="8" width="25.375" style="1" customWidth="1"/>
    <col min="9" max="10" width="9.125" style="1" customWidth="1"/>
    <col min="11" max="11" width="7.75" style="1" customWidth="1"/>
    <col min="12" max="12" width="25.375" style="1" customWidth="1"/>
    <col min="13" max="14" width="9.125" style="1" customWidth="1"/>
    <col min="15" max="15" width="7.75" style="1" customWidth="1"/>
    <col min="16" max="16" width="25.375" style="1" customWidth="1"/>
    <col min="17" max="18" width="9.125" style="1" customWidth="1"/>
    <col min="19" max="19" width="7.75" style="1" customWidth="1"/>
    <col min="20" max="20" width="25.375" style="1" customWidth="1"/>
    <col min="21" max="22" width="9.125" style="1" customWidth="1"/>
    <col min="23" max="23" width="4.125" style="1" customWidth="1"/>
    <col min="24" max="24" width="9.125" style="1018" bestFit="1" customWidth="1"/>
    <col min="25" max="25" width="9.5" style="1019" bestFit="1" customWidth="1"/>
    <col min="28" max="28" width="9" style="1"/>
    <col min="29" max="29" width="17.75" style="1" customWidth="1"/>
    <col min="30" max="30" width="9" style="1"/>
    <col min="31" max="31" width="33.375" style="598" customWidth="1"/>
    <col min="32" max="32" width="13.25" style="1015" bestFit="1" customWidth="1"/>
    <col min="33" max="33" width="17.625" style="1" bestFit="1" customWidth="1"/>
    <col min="35" max="16384" width="9" style="1"/>
  </cols>
  <sheetData>
    <row r="1" spans="2:33" ht="30.75" customHeight="1" x14ac:dyDescent="0.3">
      <c r="B1" s="207" t="s">
        <v>503</v>
      </c>
      <c r="AF1" s="1015">
        <f>SUM(AF4:AF1048)</f>
        <v>4</v>
      </c>
    </row>
    <row r="2" spans="2:33" ht="96" customHeight="1" thickBot="1" x14ac:dyDescent="0.35">
      <c r="B2" s="132" t="s">
        <v>504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</row>
    <row r="3" spans="2:33" ht="30.75" customHeight="1" thickTop="1" x14ac:dyDescent="0.3"/>
    <row r="4" spans="2:33" ht="30.75" customHeight="1" thickBot="1" x14ac:dyDescent="0.35">
      <c r="B4" s="4" t="s">
        <v>0</v>
      </c>
      <c r="C4" s="1077" t="s">
        <v>1</v>
      </c>
      <c r="D4" s="1077"/>
      <c r="E4" s="1077"/>
      <c r="F4" s="1077"/>
      <c r="G4" s="1077" t="s">
        <v>2</v>
      </c>
      <c r="H4" s="1077"/>
      <c r="I4" s="1077"/>
      <c r="J4" s="1077"/>
      <c r="K4" s="1077" t="s">
        <v>3</v>
      </c>
      <c r="L4" s="1077"/>
      <c r="M4" s="1077"/>
      <c r="N4" s="1077"/>
      <c r="O4" s="1077" t="s">
        <v>4</v>
      </c>
      <c r="P4" s="1077"/>
      <c r="Q4" s="1077"/>
      <c r="R4" s="1077"/>
      <c r="S4" s="1077" t="s">
        <v>5</v>
      </c>
      <c r="T4" s="1077"/>
      <c r="U4" s="1077"/>
      <c r="V4" s="1078"/>
      <c r="X4" s="1018">
        <v>1</v>
      </c>
      <c r="Y4" s="1019" t="str">
        <f t="shared" ref="Y4:Y67" si="0">VLOOKUP(X4,$AD$4:$AE$111,2,FALSE)</f>
        <v>더금융 명문</v>
      </c>
      <c r="AD4" s="1">
        <f>IF(AG4="","",COUNTIFS($AG$4:AG4,AG4))</f>
        <v>1</v>
      </c>
      <c r="AE4" s="1017" t="s">
        <v>50</v>
      </c>
      <c r="AF4" s="1015">
        <f t="shared" ref="AF4:AF67" si="1">COUNTIFS($B$3:$V$46,AE4)</f>
        <v>0</v>
      </c>
      <c r="AG4" s="1">
        <f>IF(AF4=0,1,"")</f>
        <v>1</v>
      </c>
    </row>
    <row r="5" spans="2:33" ht="30.75" customHeight="1" thickTop="1" thickBot="1" x14ac:dyDescent="0.35">
      <c r="B5" s="34" t="s">
        <v>28</v>
      </c>
      <c r="C5" s="918"/>
      <c r="D5" s="919"/>
      <c r="E5" s="919"/>
      <c r="F5" s="920"/>
      <c r="G5" s="902">
        <v>1</v>
      </c>
      <c r="H5" s="903" t="s">
        <v>499</v>
      </c>
      <c r="I5" s="903" t="s">
        <v>500</v>
      </c>
      <c r="J5" s="904" t="s">
        <v>501</v>
      </c>
      <c r="K5" s="902">
        <f>G5+1</f>
        <v>2</v>
      </c>
      <c r="L5" s="903" t="s">
        <v>499</v>
      </c>
      <c r="M5" s="903" t="s">
        <v>500</v>
      </c>
      <c r="N5" s="904" t="s">
        <v>501</v>
      </c>
      <c r="O5" s="902">
        <f>K5+1</f>
        <v>3</v>
      </c>
      <c r="P5" s="903" t="s">
        <v>499</v>
      </c>
      <c r="Q5" s="903" t="s">
        <v>500</v>
      </c>
      <c r="R5" s="904" t="s">
        <v>501</v>
      </c>
      <c r="S5" s="902">
        <f>O5+1</f>
        <v>4</v>
      </c>
      <c r="T5" s="903" t="s">
        <v>499</v>
      </c>
      <c r="U5" s="903" t="s">
        <v>500</v>
      </c>
      <c r="V5" s="905" t="s">
        <v>501</v>
      </c>
      <c r="X5" s="1018">
        <v>2</v>
      </c>
      <c r="Y5" s="1019" t="str">
        <f t="shared" si="0"/>
        <v>현대홈 화성</v>
      </c>
      <c r="AD5" s="1">
        <f>IF(AG5="","",COUNTIFS($AG$4:AG5,AG5))</f>
        <v>2</v>
      </c>
      <c r="AE5" s="1012" t="s">
        <v>151</v>
      </c>
      <c r="AF5" s="1015">
        <f t="shared" si="1"/>
        <v>0</v>
      </c>
      <c r="AG5" s="1">
        <f t="shared" ref="AG5:AG68" si="2">IF(AF5=0,1,"")</f>
        <v>1</v>
      </c>
    </row>
    <row r="6" spans="2:33" ht="30.75" customHeight="1" thickTop="1" x14ac:dyDescent="0.3">
      <c r="B6" s="1085" t="s">
        <v>9</v>
      </c>
      <c r="C6" s="857"/>
      <c r="D6" s="858"/>
      <c r="E6" s="859"/>
      <c r="F6" s="860"/>
      <c r="G6" s="882"/>
      <c r="H6" s="883"/>
      <c r="I6" s="884"/>
      <c r="J6" s="885"/>
      <c r="K6" s="882">
        <v>0.39583333333333331</v>
      </c>
      <c r="L6" s="883" t="s">
        <v>22</v>
      </c>
      <c r="M6" s="884"/>
      <c r="N6" s="885"/>
      <c r="O6" s="882">
        <v>0.39583333333333331</v>
      </c>
      <c r="P6" s="883" t="s">
        <v>20</v>
      </c>
      <c r="Q6" s="884"/>
      <c r="R6" s="885"/>
      <c r="S6" s="882"/>
      <c r="T6" s="883"/>
      <c r="U6" s="884"/>
      <c r="V6" s="886"/>
      <c r="X6" s="1018">
        <v>3</v>
      </c>
      <c r="Y6" s="1019" t="str">
        <f t="shared" si="0"/>
        <v>현대홈 인천</v>
      </c>
      <c r="AD6" s="1">
        <f>IF(AG6="","",COUNTIFS($AG$4:AG6,AG6))</f>
        <v>3</v>
      </c>
      <c r="AE6" s="1012" t="s">
        <v>639</v>
      </c>
      <c r="AF6" s="1015">
        <f t="shared" si="1"/>
        <v>0</v>
      </c>
      <c r="AG6" s="1">
        <f t="shared" si="2"/>
        <v>1</v>
      </c>
    </row>
    <row r="7" spans="2:33" ht="30.75" customHeight="1" x14ac:dyDescent="0.3">
      <c r="B7" s="1085"/>
      <c r="C7" s="861"/>
      <c r="D7" s="862"/>
      <c r="E7" s="863"/>
      <c r="F7" s="864"/>
      <c r="G7" s="906"/>
      <c r="H7" s="888"/>
      <c r="I7" s="889"/>
      <c r="J7" s="890"/>
      <c r="K7" s="906"/>
      <c r="L7" s="888"/>
      <c r="M7" s="889"/>
      <c r="N7" s="890"/>
      <c r="O7" s="906"/>
      <c r="P7" s="888"/>
      <c r="Q7" s="889"/>
      <c r="R7" s="890"/>
      <c r="S7" s="887"/>
      <c r="T7" s="888"/>
      <c r="U7" s="889"/>
      <c r="V7" s="891"/>
      <c r="X7" s="1018">
        <v>4</v>
      </c>
      <c r="Y7" s="1019" t="str">
        <f t="shared" si="0"/>
        <v>현대홈 위대한</v>
      </c>
      <c r="AD7" s="1">
        <f>IF(AG7="","",COUNTIFS($AG$4:AG7,AG7))</f>
        <v>4</v>
      </c>
      <c r="AE7" s="1012" t="s">
        <v>399</v>
      </c>
      <c r="AF7" s="1015">
        <f t="shared" si="1"/>
        <v>0</v>
      </c>
      <c r="AG7" s="1">
        <f t="shared" si="2"/>
        <v>1</v>
      </c>
    </row>
    <row r="8" spans="2:33" ht="30.75" customHeight="1" x14ac:dyDescent="0.3">
      <c r="B8" s="1085"/>
      <c r="C8" s="866"/>
      <c r="D8" s="867"/>
      <c r="E8" s="868"/>
      <c r="F8" s="869"/>
      <c r="G8" s="892"/>
      <c r="H8" s="893"/>
      <c r="I8" s="894"/>
      <c r="J8" s="895"/>
      <c r="K8" s="892"/>
      <c r="L8" s="893"/>
      <c r="M8" s="894"/>
      <c r="N8" s="895"/>
      <c r="O8" s="892"/>
      <c r="P8" s="893"/>
      <c r="Q8" s="894"/>
      <c r="R8" s="895"/>
      <c r="S8" s="892"/>
      <c r="T8" s="893"/>
      <c r="U8" s="894"/>
      <c r="V8" s="896"/>
      <c r="X8" s="1018">
        <v>5</v>
      </c>
      <c r="Y8" s="1019" t="str">
        <f t="shared" si="0"/>
        <v>현대홈 용인</v>
      </c>
      <c r="AD8" s="1">
        <f>IF(AG8="","",COUNTIFS($AG$4:AG8,AG8))</f>
        <v>5</v>
      </c>
      <c r="AE8" s="1012" t="s">
        <v>264</v>
      </c>
      <c r="AF8" s="1015">
        <f t="shared" si="1"/>
        <v>0</v>
      </c>
      <c r="AG8" s="1">
        <f t="shared" si="2"/>
        <v>1</v>
      </c>
    </row>
    <row r="9" spans="2:33" ht="42" customHeight="1" x14ac:dyDescent="0.3">
      <c r="B9" s="1086"/>
      <c r="C9" s="1316"/>
      <c r="D9" s="1317"/>
      <c r="E9" s="1317"/>
      <c r="F9" s="1318"/>
      <c r="G9" s="1312"/>
      <c r="H9" s="1313"/>
      <c r="I9" s="1313"/>
      <c r="J9" s="1319"/>
      <c r="K9" s="1312"/>
      <c r="L9" s="1313"/>
      <c r="M9" s="1313"/>
      <c r="N9" s="1319"/>
      <c r="O9" s="1312"/>
      <c r="P9" s="1313"/>
      <c r="Q9" s="1313"/>
      <c r="R9" s="1319"/>
      <c r="S9" s="1312"/>
      <c r="T9" s="1313"/>
      <c r="U9" s="1313"/>
      <c r="V9" s="1313"/>
      <c r="X9" s="1018">
        <f>X8+1</f>
        <v>6</v>
      </c>
      <c r="Y9" s="1019" t="str">
        <f t="shared" si="0"/>
        <v>현대홈 오산</v>
      </c>
      <c r="AD9" s="1">
        <f>IF(AG9="","",COUNTIFS($AG$4:AG9,AG9))</f>
        <v>6</v>
      </c>
      <c r="AE9" s="1012" t="s">
        <v>152</v>
      </c>
      <c r="AF9" s="1015">
        <f t="shared" si="1"/>
        <v>0</v>
      </c>
      <c r="AG9" s="1">
        <f t="shared" si="2"/>
        <v>1</v>
      </c>
    </row>
    <row r="10" spans="2:33" ht="30.75" customHeight="1" x14ac:dyDescent="0.3">
      <c r="B10" s="1087" t="s">
        <v>12</v>
      </c>
      <c r="C10" s="870"/>
      <c r="D10" s="871"/>
      <c r="E10" s="872"/>
      <c r="F10" s="873"/>
      <c r="G10" s="65"/>
      <c r="H10" s="63"/>
      <c r="I10" s="64"/>
      <c r="J10" s="66"/>
      <c r="K10" s="65"/>
      <c r="L10" s="63"/>
      <c r="M10" s="64"/>
      <c r="N10" s="66"/>
      <c r="O10" s="65"/>
      <c r="P10" s="63"/>
      <c r="Q10" s="64"/>
      <c r="R10" s="66"/>
      <c r="S10" s="65"/>
      <c r="T10" s="63"/>
      <c r="U10" s="64"/>
      <c r="V10" s="67"/>
      <c r="X10" s="1018">
        <f t="shared" ref="X10:X73" si="3">X9+1</f>
        <v>7</v>
      </c>
      <c r="Y10" s="1019" t="str">
        <f t="shared" si="0"/>
        <v>현대홈 안산</v>
      </c>
      <c r="AD10" s="1">
        <f>IF(AG10="","",COUNTIFS($AG$4:AG10,AG10))</f>
        <v>7</v>
      </c>
      <c r="AE10" s="1012" t="s">
        <v>180</v>
      </c>
      <c r="AF10" s="1015">
        <f t="shared" si="1"/>
        <v>0</v>
      </c>
      <c r="AG10" s="1">
        <f t="shared" si="2"/>
        <v>1</v>
      </c>
    </row>
    <row r="11" spans="2:33" ht="30.75" customHeight="1" x14ac:dyDescent="0.3">
      <c r="B11" s="1088"/>
      <c r="C11" s="874"/>
      <c r="D11" s="875"/>
      <c r="E11" s="876"/>
      <c r="F11" s="877"/>
      <c r="G11" s="72"/>
      <c r="H11" s="70"/>
      <c r="I11" s="71"/>
      <c r="J11" s="73"/>
      <c r="K11" s="72"/>
      <c r="L11" s="70"/>
      <c r="M11" s="71"/>
      <c r="N11" s="73"/>
      <c r="O11" s="72"/>
      <c r="P11" s="70"/>
      <c r="Q11" s="71"/>
      <c r="R11" s="73"/>
      <c r="S11" s="72"/>
      <c r="T11" s="70"/>
      <c r="U11" s="71"/>
      <c r="V11" s="74"/>
      <c r="X11" s="1018">
        <f t="shared" si="3"/>
        <v>8</v>
      </c>
      <c r="Y11" s="1019" t="str">
        <f t="shared" si="0"/>
        <v>현대홈 빅트리</v>
      </c>
      <c r="AD11" s="1">
        <f>IF(AG11="","",COUNTIFS($AG$4:AG11,AG11))</f>
        <v>8</v>
      </c>
      <c r="AE11" s="1012" t="s">
        <v>144</v>
      </c>
      <c r="AF11" s="1015">
        <f t="shared" si="1"/>
        <v>0</v>
      </c>
      <c r="AG11" s="1">
        <f t="shared" si="2"/>
        <v>1</v>
      </c>
    </row>
    <row r="12" spans="2:33" ht="30.75" customHeight="1" x14ac:dyDescent="0.3">
      <c r="B12" s="18" t="s">
        <v>13</v>
      </c>
      <c r="C12" s="878"/>
      <c r="D12" s="879"/>
      <c r="E12" s="880"/>
      <c r="F12" s="881"/>
      <c r="G12" s="897"/>
      <c r="H12" s="898"/>
      <c r="I12" s="899"/>
      <c r="J12" s="900"/>
      <c r="K12" s="897"/>
      <c r="L12" s="898"/>
      <c r="M12" s="899"/>
      <c r="N12" s="900"/>
      <c r="O12" s="897"/>
      <c r="P12" s="898"/>
      <c r="Q12" s="899"/>
      <c r="R12" s="900"/>
      <c r="S12" s="907"/>
      <c r="T12" s="898"/>
      <c r="U12" s="899"/>
      <c r="V12" s="901"/>
      <c r="X12" s="1018">
        <f t="shared" si="3"/>
        <v>9</v>
      </c>
      <c r="Y12" s="1019" t="str">
        <f t="shared" si="0"/>
        <v>현대홈 부천</v>
      </c>
      <c r="AD12" s="1">
        <f>IF(AG12="","",COUNTIFS($AG$4:AG12,AG12))</f>
        <v>9</v>
      </c>
      <c r="AE12" s="1012" t="s">
        <v>261</v>
      </c>
      <c r="AF12" s="1015">
        <f t="shared" si="1"/>
        <v>0</v>
      </c>
      <c r="AG12" s="1">
        <f t="shared" si="2"/>
        <v>1</v>
      </c>
    </row>
    <row r="13" spans="2:33" ht="30.75" customHeight="1" thickBot="1" x14ac:dyDescent="0.35">
      <c r="B13" s="35" t="s">
        <v>29</v>
      </c>
      <c r="C13" s="916">
        <f>S5+3</f>
        <v>7</v>
      </c>
      <c r="D13" s="903" t="s">
        <v>499</v>
      </c>
      <c r="E13" s="903" t="s">
        <v>500</v>
      </c>
      <c r="F13" s="917" t="s">
        <v>501</v>
      </c>
      <c r="G13" s="902">
        <f>C13+1</f>
        <v>8</v>
      </c>
      <c r="H13" s="903" t="s">
        <v>499</v>
      </c>
      <c r="I13" s="903" t="s">
        <v>500</v>
      </c>
      <c r="J13" s="904" t="s">
        <v>501</v>
      </c>
      <c r="K13" s="902">
        <f>G13+1</f>
        <v>9</v>
      </c>
      <c r="L13" s="903" t="s">
        <v>499</v>
      </c>
      <c r="M13" s="903" t="s">
        <v>500</v>
      </c>
      <c r="N13" s="904" t="s">
        <v>501</v>
      </c>
      <c r="O13" s="902">
        <f>K13+1</f>
        <v>10</v>
      </c>
      <c r="P13" s="903" t="s">
        <v>499</v>
      </c>
      <c r="Q13" s="903" t="s">
        <v>500</v>
      </c>
      <c r="R13" s="904" t="s">
        <v>501</v>
      </c>
      <c r="S13" s="902">
        <f>O13+1</f>
        <v>11</v>
      </c>
      <c r="T13" s="903" t="s">
        <v>499</v>
      </c>
      <c r="U13" s="903" t="s">
        <v>500</v>
      </c>
      <c r="V13" s="905" t="s">
        <v>501</v>
      </c>
      <c r="X13" s="1018">
        <f t="shared" si="3"/>
        <v>10</v>
      </c>
      <c r="Y13" s="1019" t="str">
        <f t="shared" si="0"/>
        <v>현대홈 동탄</v>
      </c>
      <c r="AD13" s="1">
        <f>IF(AG13="","",COUNTIFS($AG$4:AG13,AG13))</f>
        <v>10</v>
      </c>
      <c r="AE13" s="1012" t="s">
        <v>213</v>
      </c>
      <c r="AF13" s="1015">
        <f t="shared" si="1"/>
        <v>0</v>
      </c>
      <c r="AG13" s="1">
        <f t="shared" si="2"/>
        <v>1</v>
      </c>
    </row>
    <row r="14" spans="2:33" ht="30.75" customHeight="1" thickTop="1" x14ac:dyDescent="0.3">
      <c r="B14" s="1085" t="s">
        <v>9</v>
      </c>
      <c r="C14" s="908"/>
      <c r="D14" s="883"/>
      <c r="E14" s="884"/>
      <c r="F14" s="909"/>
      <c r="G14" s="882"/>
      <c r="H14" s="883"/>
      <c r="I14" s="884"/>
      <c r="J14" s="885"/>
      <c r="K14" s="882"/>
      <c r="L14" s="883"/>
      <c r="M14" s="884"/>
      <c r="N14" s="885"/>
      <c r="O14" s="882"/>
      <c r="P14" s="883"/>
      <c r="Q14" s="884"/>
      <c r="R14" s="885"/>
      <c r="S14" s="882"/>
      <c r="T14" s="883"/>
      <c r="U14" s="884"/>
      <c r="V14" s="886"/>
      <c r="X14" s="1018">
        <f t="shared" si="3"/>
        <v>11</v>
      </c>
      <c r="Y14" s="1019" t="str">
        <f t="shared" si="0"/>
        <v>현대홈 강북</v>
      </c>
      <c r="AD14" s="1">
        <f>IF(AG14="","",COUNTIFS($AG$4:AG14,AG14))</f>
        <v>11</v>
      </c>
      <c r="AE14" s="1012" t="s">
        <v>263</v>
      </c>
      <c r="AF14" s="1015">
        <f t="shared" si="1"/>
        <v>0</v>
      </c>
      <c r="AG14" s="1">
        <f t="shared" si="2"/>
        <v>1</v>
      </c>
    </row>
    <row r="15" spans="2:33" ht="30.75" customHeight="1" x14ac:dyDescent="0.3">
      <c r="B15" s="1085"/>
      <c r="C15" s="910"/>
      <c r="D15" s="888"/>
      <c r="E15" s="889"/>
      <c r="F15" s="911"/>
      <c r="G15" s="887"/>
      <c r="H15" s="888"/>
      <c r="I15" s="889"/>
      <c r="J15" s="890"/>
      <c r="K15" s="906"/>
      <c r="L15" s="888"/>
      <c r="M15" s="889"/>
      <c r="N15" s="890"/>
      <c r="O15" s="906"/>
      <c r="P15" s="888"/>
      <c r="Q15" s="889"/>
      <c r="R15" s="890"/>
      <c r="S15" s="887"/>
      <c r="T15" s="888"/>
      <c r="U15" s="889"/>
      <c r="V15" s="891"/>
      <c r="X15" s="1018">
        <f t="shared" si="3"/>
        <v>12</v>
      </c>
      <c r="Y15" s="1019" t="str">
        <f t="shared" si="0"/>
        <v>현대홈 강동하남</v>
      </c>
      <c r="AD15" s="1">
        <f>IF(AG15="","",COUNTIFS($AG$4:AG15,AG15))</f>
        <v>12</v>
      </c>
      <c r="AE15" s="1012" t="s">
        <v>265</v>
      </c>
      <c r="AF15" s="1015">
        <f t="shared" si="1"/>
        <v>0</v>
      </c>
      <c r="AG15" s="1">
        <f t="shared" si="2"/>
        <v>1</v>
      </c>
    </row>
    <row r="16" spans="2:33" ht="30.75" customHeight="1" x14ac:dyDescent="0.3">
      <c r="B16" s="1085"/>
      <c r="C16" s="912"/>
      <c r="D16" s="893"/>
      <c r="E16" s="894"/>
      <c r="F16" s="913"/>
      <c r="G16" s="892"/>
      <c r="H16" s="893"/>
      <c r="I16" s="894"/>
      <c r="J16" s="895"/>
      <c r="K16" s="892"/>
      <c r="L16" s="893"/>
      <c r="M16" s="894"/>
      <c r="N16" s="895"/>
      <c r="O16" s="892"/>
      <c r="P16" s="893"/>
      <c r="Q16" s="894"/>
      <c r="R16" s="895"/>
      <c r="S16" s="892"/>
      <c r="T16" s="893"/>
      <c r="U16" s="894"/>
      <c r="V16" s="896"/>
      <c r="X16" s="1018">
        <f t="shared" si="3"/>
        <v>13</v>
      </c>
      <c r="Y16" s="1019" t="str">
        <f t="shared" si="0"/>
        <v>트루 효명</v>
      </c>
      <c r="AD16" s="1">
        <f>IF(AG16="","",COUNTIFS($AG$4:AG16,AG16))</f>
        <v>13</v>
      </c>
      <c r="AE16" s="1012" t="s">
        <v>283</v>
      </c>
      <c r="AF16" s="1015">
        <f t="shared" si="1"/>
        <v>0</v>
      </c>
      <c r="AG16" s="1">
        <f t="shared" si="2"/>
        <v>1</v>
      </c>
    </row>
    <row r="17" spans="2:33" ht="42" customHeight="1" x14ac:dyDescent="0.3">
      <c r="B17" s="1086"/>
      <c r="C17" s="1320"/>
      <c r="D17" s="1313"/>
      <c r="E17" s="1313"/>
      <c r="F17" s="1319"/>
      <c r="G17" s="1312"/>
      <c r="H17" s="1313"/>
      <c r="I17" s="1313"/>
      <c r="J17" s="1319"/>
      <c r="K17" s="1312"/>
      <c r="L17" s="1313"/>
      <c r="M17" s="1313"/>
      <c r="N17" s="1319"/>
      <c r="O17" s="1312"/>
      <c r="P17" s="1313"/>
      <c r="Q17" s="1313"/>
      <c r="R17" s="1319"/>
      <c r="S17" s="1312"/>
      <c r="T17" s="1313"/>
      <c r="U17" s="1313"/>
      <c r="V17" s="1313"/>
      <c r="X17" s="1018">
        <f t="shared" si="3"/>
        <v>14</v>
      </c>
      <c r="Y17" s="1019" t="str">
        <f t="shared" si="0"/>
        <v>트루 효명당진</v>
      </c>
      <c r="AD17" s="1" t="str">
        <f>IF(AG17="","",COUNTIFS($AG$4:AG17,AG17))</f>
        <v/>
      </c>
      <c r="AE17" s="1012" t="s">
        <v>284</v>
      </c>
      <c r="AF17" s="1015">
        <f t="shared" si="1"/>
        <v>2</v>
      </c>
      <c r="AG17" s="1" t="str">
        <f t="shared" si="2"/>
        <v/>
      </c>
    </row>
    <row r="18" spans="2:33" ht="30.75" customHeight="1" x14ac:dyDescent="0.3">
      <c r="B18" s="1079" t="s">
        <v>12</v>
      </c>
      <c r="C18" s="62"/>
      <c r="D18" s="63"/>
      <c r="E18" s="64"/>
      <c r="F18" s="61"/>
      <c r="G18" s="65"/>
      <c r="H18" s="63"/>
      <c r="I18" s="64"/>
      <c r="J18" s="66"/>
      <c r="K18" s="65"/>
      <c r="L18" s="63"/>
      <c r="M18" s="64"/>
      <c r="N18" s="66"/>
      <c r="O18" s="65"/>
      <c r="P18" s="63"/>
      <c r="Q18" s="64"/>
      <c r="R18" s="66"/>
      <c r="S18" s="65"/>
      <c r="T18" s="63"/>
      <c r="U18" s="64"/>
      <c r="V18" s="67"/>
      <c r="X18" s="1018">
        <f t="shared" si="3"/>
        <v>15</v>
      </c>
      <c r="Y18" s="1019" t="str">
        <f t="shared" si="0"/>
        <v>트루 대성</v>
      </c>
      <c r="AD18" s="1">
        <f>IF(AG18="","",COUNTIFS($AG$4:AG18,AG18))</f>
        <v>14</v>
      </c>
      <c r="AE18" s="1012" t="s">
        <v>654</v>
      </c>
      <c r="AF18" s="1015">
        <f t="shared" si="1"/>
        <v>0</v>
      </c>
      <c r="AG18" s="1">
        <f t="shared" si="2"/>
        <v>1</v>
      </c>
    </row>
    <row r="19" spans="2:33" ht="30.75" customHeight="1" x14ac:dyDescent="0.3">
      <c r="B19" s="1080"/>
      <c r="C19" s="69"/>
      <c r="D19" s="70"/>
      <c r="E19" s="71"/>
      <c r="F19" s="68"/>
      <c r="G19" s="72"/>
      <c r="H19" s="70"/>
      <c r="I19" s="71"/>
      <c r="J19" s="73"/>
      <c r="K19" s="72"/>
      <c r="L19" s="70"/>
      <c r="M19" s="71"/>
      <c r="N19" s="73"/>
      <c r="O19" s="72"/>
      <c r="P19" s="70"/>
      <c r="Q19" s="71"/>
      <c r="R19" s="73"/>
      <c r="S19" s="72"/>
      <c r="T19" s="70"/>
      <c r="U19" s="71"/>
      <c r="V19" s="74"/>
      <c r="X19" s="1018">
        <f t="shared" si="3"/>
        <v>16</v>
      </c>
      <c r="Y19" s="1019" t="str">
        <f t="shared" si="0"/>
        <v>피플라이프 평택금융</v>
      </c>
      <c r="AD19" s="1">
        <f>IF(AG19="","",COUNTIFS($AG$4:AG19,AG19))</f>
        <v>15</v>
      </c>
      <c r="AE19" s="1012" t="s">
        <v>361</v>
      </c>
      <c r="AF19" s="1015">
        <f t="shared" si="1"/>
        <v>0</v>
      </c>
      <c r="AG19" s="1">
        <f t="shared" si="2"/>
        <v>1</v>
      </c>
    </row>
    <row r="20" spans="2:33" ht="30.75" customHeight="1" x14ac:dyDescent="0.3">
      <c r="B20" s="9" t="s">
        <v>13</v>
      </c>
      <c r="C20" s="914"/>
      <c r="D20" s="898"/>
      <c r="E20" s="899"/>
      <c r="F20" s="915"/>
      <c r="G20" s="897"/>
      <c r="H20" s="898"/>
      <c r="I20" s="899"/>
      <c r="J20" s="900"/>
      <c r="K20" s="897"/>
      <c r="L20" s="898"/>
      <c r="M20" s="899"/>
      <c r="N20" s="900"/>
      <c r="O20" s="897"/>
      <c r="P20" s="898"/>
      <c r="Q20" s="899"/>
      <c r="R20" s="900"/>
      <c r="S20" s="907"/>
      <c r="T20" s="898"/>
      <c r="U20" s="899"/>
      <c r="V20" s="901"/>
      <c r="X20" s="1018">
        <f t="shared" si="3"/>
        <v>17</v>
      </c>
      <c r="Y20" s="1019" t="str">
        <f t="shared" si="0"/>
        <v>피플라이프 평택</v>
      </c>
      <c r="AD20" s="1" t="str">
        <f>IF(AG20="","",COUNTIFS($AG$4:AG20,AG20))</f>
        <v/>
      </c>
      <c r="AE20" s="1012" t="s">
        <v>384</v>
      </c>
      <c r="AF20" s="1015">
        <f t="shared" si="1"/>
        <v>1</v>
      </c>
      <c r="AG20" s="1" t="str">
        <f t="shared" si="2"/>
        <v/>
      </c>
    </row>
    <row r="21" spans="2:33" ht="30.75" customHeight="1" thickBot="1" x14ac:dyDescent="0.35">
      <c r="B21" s="35" t="s">
        <v>30</v>
      </c>
      <c r="C21" s="916">
        <f>S13+3</f>
        <v>14</v>
      </c>
      <c r="D21" s="903" t="s">
        <v>499</v>
      </c>
      <c r="E21" s="903" t="s">
        <v>500</v>
      </c>
      <c r="F21" s="917" t="s">
        <v>501</v>
      </c>
      <c r="G21" s="902">
        <f>C21+1</f>
        <v>15</v>
      </c>
      <c r="H21" s="903" t="s">
        <v>499</v>
      </c>
      <c r="I21" s="903" t="s">
        <v>500</v>
      </c>
      <c r="J21" s="904" t="s">
        <v>501</v>
      </c>
      <c r="K21" s="902">
        <f>G21+1</f>
        <v>16</v>
      </c>
      <c r="L21" s="903" t="s">
        <v>499</v>
      </c>
      <c r="M21" s="903" t="s">
        <v>500</v>
      </c>
      <c r="N21" s="904" t="s">
        <v>501</v>
      </c>
      <c r="O21" s="902">
        <f>K21+1</f>
        <v>17</v>
      </c>
      <c r="P21" s="903" t="s">
        <v>499</v>
      </c>
      <c r="Q21" s="903" t="s">
        <v>500</v>
      </c>
      <c r="R21" s="904" t="s">
        <v>501</v>
      </c>
      <c r="S21" s="902">
        <f>O21+1</f>
        <v>18</v>
      </c>
      <c r="T21" s="903" t="s">
        <v>499</v>
      </c>
      <c r="U21" s="903" t="s">
        <v>500</v>
      </c>
      <c r="V21" s="905" t="s">
        <v>501</v>
      </c>
      <c r="X21" s="1018">
        <f t="shared" si="3"/>
        <v>18</v>
      </c>
      <c r="Y21" s="1019" t="str">
        <f t="shared" si="0"/>
        <v>피플라이프 오산</v>
      </c>
      <c r="AD21" s="1">
        <f>IF(AG21="","",COUNTIFS($AG$4:AG21,AG21))</f>
        <v>16</v>
      </c>
      <c r="AE21" s="1013" t="s">
        <v>621</v>
      </c>
      <c r="AF21" s="1015">
        <f t="shared" si="1"/>
        <v>0</v>
      </c>
      <c r="AG21" s="1">
        <f t="shared" si="2"/>
        <v>1</v>
      </c>
    </row>
    <row r="22" spans="2:33" ht="30.75" customHeight="1" thickTop="1" x14ac:dyDescent="0.3">
      <c r="B22" s="1085" t="s">
        <v>9</v>
      </c>
      <c r="C22" s="908">
        <v>0.375</v>
      </c>
      <c r="D22" s="883" t="s">
        <v>284</v>
      </c>
      <c r="E22" s="884"/>
      <c r="F22" s="909"/>
      <c r="G22" s="882"/>
      <c r="H22" s="883"/>
      <c r="I22" s="884"/>
      <c r="J22" s="885"/>
      <c r="K22" s="882"/>
      <c r="L22" s="883"/>
      <c r="M22" s="884"/>
      <c r="N22" s="885"/>
      <c r="O22" s="882">
        <v>0.375</v>
      </c>
      <c r="P22" s="883" t="s">
        <v>55</v>
      </c>
      <c r="Q22" s="884"/>
      <c r="R22" s="885"/>
      <c r="S22" s="882"/>
      <c r="T22" s="883"/>
      <c r="U22" s="884"/>
      <c r="V22" s="886"/>
      <c r="X22" s="1018">
        <f t="shared" si="3"/>
        <v>19</v>
      </c>
      <c r="Y22" s="1019" t="str">
        <f t="shared" si="0"/>
        <v>한보금 정도</v>
      </c>
      <c r="AD22" s="1">
        <f>IF(AG22="","",COUNTIFS($AG$4:AG22,AG22))</f>
        <v>17</v>
      </c>
      <c r="AE22" s="1013" t="s">
        <v>205</v>
      </c>
      <c r="AF22" s="1015">
        <f t="shared" si="1"/>
        <v>0</v>
      </c>
      <c r="AG22" s="1">
        <f t="shared" si="2"/>
        <v>1</v>
      </c>
    </row>
    <row r="23" spans="2:33" ht="30.75" customHeight="1" x14ac:dyDescent="0.3">
      <c r="B23" s="1085"/>
      <c r="C23" s="910"/>
      <c r="D23" s="888"/>
      <c r="E23" s="889"/>
      <c r="F23" s="911"/>
      <c r="G23" s="887"/>
      <c r="H23" s="888"/>
      <c r="I23" s="889"/>
      <c r="J23" s="890"/>
      <c r="K23" s="906"/>
      <c r="L23" s="888"/>
      <c r="M23" s="889"/>
      <c r="N23" s="890"/>
      <c r="O23" s="906"/>
      <c r="P23" s="888"/>
      <c r="Q23" s="889"/>
      <c r="R23" s="890"/>
      <c r="S23" s="887"/>
      <c r="T23" s="888"/>
      <c r="U23" s="889"/>
      <c r="V23" s="891"/>
      <c r="X23" s="1018">
        <f t="shared" si="3"/>
        <v>20</v>
      </c>
      <c r="Y23" s="1019" t="str">
        <f t="shared" si="0"/>
        <v>프라임 동탄2</v>
      </c>
      <c r="AD23" s="1">
        <f>IF(AG23="","",COUNTIFS($AG$4:AG23,AG23))</f>
        <v>18</v>
      </c>
      <c r="AE23" s="1013" t="s">
        <v>140</v>
      </c>
      <c r="AF23" s="1015">
        <f t="shared" si="1"/>
        <v>0</v>
      </c>
      <c r="AG23" s="1">
        <f t="shared" si="2"/>
        <v>1</v>
      </c>
    </row>
    <row r="24" spans="2:33" ht="30.75" customHeight="1" x14ac:dyDescent="0.3">
      <c r="B24" s="1085"/>
      <c r="C24" s="912"/>
      <c r="D24" s="893"/>
      <c r="E24" s="894"/>
      <c r="F24" s="913"/>
      <c r="G24" s="892"/>
      <c r="H24" s="893"/>
      <c r="I24" s="894"/>
      <c r="J24" s="895"/>
      <c r="K24" s="892"/>
      <c r="L24" s="893"/>
      <c r="M24" s="894"/>
      <c r="N24" s="895"/>
      <c r="O24" s="892"/>
      <c r="P24" s="893"/>
      <c r="Q24" s="894"/>
      <c r="R24" s="895"/>
      <c r="S24" s="892"/>
      <c r="T24" s="893"/>
      <c r="U24" s="894"/>
      <c r="V24" s="896"/>
      <c r="X24" s="1018">
        <f t="shared" si="3"/>
        <v>21</v>
      </c>
      <c r="Y24" s="1019" t="str">
        <f t="shared" si="0"/>
        <v>프라임 동탄2노원</v>
      </c>
      <c r="AD24" s="1">
        <f>IF(AG24="","",COUNTIFS($AG$4:AG24,AG24))</f>
        <v>19</v>
      </c>
      <c r="AE24" s="1012" t="s">
        <v>95</v>
      </c>
      <c r="AF24" s="1015">
        <f t="shared" si="1"/>
        <v>0</v>
      </c>
      <c r="AG24" s="1">
        <f t="shared" si="2"/>
        <v>1</v>
      </c>
    </row>
    <row r="25" spans="2:33" ht="42" customHeight="1" x14ac:dyDescent="0.3">
      <c r="B25" s="1086"/>
      <c r="C25" s="1320"/>
      <c r="D25" s="1313"/>
      <c r="E25" s="1313"/>
      <c r="F25" s="1319"/>
      <c r="G25" s="1312"/>
      <c r="H25" s="1313"/>
      <c r="I25" s="1313"/>
      <c r="J25" s="1319"/>
      <c r="K25" s="1312"/>
      <c r="L25" s="1313"/>
      <c r="M25" s="1313"/>
      <c r="N25" s="1319"/>
      <c r="O25" s="1312"/>
      <c r="P25" s="1313"/>
      <c r="Q25" s="1313"/>
      <c r="R25" s="1319"/>
      <c r="S25" s="1312"/>
      <c r="T25" s="1313"/>
      <c r="U25" s="1313"/>
      <c r="V25" s="1313"/>
      <c r="X25" s="1018">
        <f t="shared" si="3"/>
        <v>22</v>
      </c>
      <c r="Y25" s="1019" t="str">
        <f t="shared" si="0"/>
        <v>프라임 화성1</v>
      </c>
      <c r="AD25" s="1">
        <f>IF(AG25="","",COUNTIFS($AG$4:AG25,AG25))</f>
        <v>20</v>
      </c>
      <c r="AE25" s="1014" t="s">
        <v>655</v>
      </c>
      <c r="AF25" s="1015">
        <f t="shared" si="1"/>
        <v>0</v>
      </c>
      <c r="AG25" s="1">
        <f t="shared" si="2"/>
        <v>1</v>
      </c>
    </row>
    <row r="26" spans="2:33" ht="30.75" customHeight="1" x14ac:dyDescent="0.3">
      <c r="B26" s="1079" t="s">
        <v>12</v>
      </c>
      <c r="C26" s="62"/>
      <c r="D26" s="63"/>
      <c r="E26" s="64"/>
      <c r="F26" s="61"/>
      <c r="G26" s="65"/>
      <c r="H26" s="63"/>
      <c r="I26" s="64"/>
      <c r="J26" s="66"/>
      <c r="K26" s="65"/>
      <c r="L26" s="63"/>
      <c r="M26" s="64"/>
      <c r="N26" s="66"/>
      <c r="O26" s="65"/>
      <c r="P26" s="63"/>
      <c r="Q26" s="64"/>
      <c r="R26" s="66"/>
      <c r="S26" s="65"/>
      <c r="T26" s="63"/>
      <c r="U26" s="64"/>
      <c r="V26" s="67"/>
      <c r="X26" s="1018">
        <f t="shared" si="3"/>
        <v>23</v>
      </c>
      <c r="Y26" s="1019" t="str">
        <f t="shared" si="0"/>
        <v>프라임 평택8</v>
      </c>
      <c r="AD26" s="1">
        <f>IF(AG26="","",COUNTIFS($AG$4:AG26,AG26))</f>
        <v>21</v>
      </c>
      <c r="AE26" s="1014" t="s">
        <v>656</v>
      </c>
      <c r="AF26" s="1015">
        <f t="shared" si="1"/>
        <v>0</v>
      </c>
      <c r="AG26" s="1">
        <f t="shared" si="2"/>
        <v>1</v>
      </c>
    </row>
    <row r="27" spans="2:33" ht="30.75" customHeight="1" x14ac:dyDescent="0.3">
      <c r="B27" s="1080"/>
      <c r="C27" s="69"/>
      <c r="D27" s="70"/>
      <c r="E27" s="71"/>
      <c r="F27" s="68"/>
      <c r="G27" s="72"/>
      <c r="H27" s="70"/>
      <c r="I27" s="71"/>
      <c r="J27" s="73"/>
      <c r="K27" s="72"/>
      <c r="L27" s="70"/>
      <c r="M27" s="71"/>
      <c r="N27" s="73"/>
      <c r="O27" s="72"/>
      <c r="P27" s="70"/>
      <c r="Q27" s="71"/>
      <c r="R27" s="73"/>
      <c r="S27" s="72"/>
      <c r="T27" s="70"/>
      <c r="U27" s="71"/>
      <c r="V27" s="74"/>
      <c r="X27" s="1018">
        <f t="shared" si="3"/>
        <v>24</v>
      </c>
      <c r="Y27" s="1019" t="str">
        <f t="shared" si="0"/>
        <v>프라임 평택3</v>
      </c>
      <c r="AD27" s="1">
        <f>IF(AG27="","",COUNTIFS($AG$4:AG27,AG27))</f>
        <v>22</v>
      </c>
      <c r="AE27" s="1014" t="s">
        <v>657</v>
      </c>
      <c r="AF27" s="1015">
        <f t="shared" si="1"/>
        <v>0</v>
      </c>
      <c r="AG27" s="1">
        <f t="shared" si="2"/>
        <v>1</v>
      </c>
    </row>
    <row r="28" spans="2:33" ht="30.75" customHeight="1" x14ac:dyDescent="0.3">
      <c r="B28" s="9" t="s">
        <v>13</v>
      </c>
      <c r="C28" s="914"/>
      <c r="D28" s="898"/>
      <c r="E28" s="899"/>
      <c r="F28" s="915"/>
      <c r="G28" s="897"/>
      <c r="H28" s="898"/>
      <c r="I28" s="899"/>
      <c r="J28" s="900"/>
      <c r="K28" s="897"/>
      <c r="L28" s="898"/>
      <c r="M28" s="899"/>
      <c r="N28" s="900"/>
      <c r="O28" s="897"/>
      <c r="P28" s="898"/>
      <c r="Q28" s="899"/>
      <c r="R28" s="900"/>
      <c r="S28" s="907"/>
      <c r="T28" s="898"/>
      <c r="U28" s="899"/>
      <c r="V28" s="901"/>
      <c r="X28" s="1018">
        <f t="shared" si="3"/>
        <v>25</v>
      </c>
      <c r="Y28" s="1019" t="str">
        <f t="shared" si="0"/>
        <v>프라임 평택1</v>
      </c>
      <c r="AD28" s="1">
        <f>IF(AG28="","",COUNTIFS($AG$4:AG28,AG28))</f>
        <v>23</v>
      </c>
      <c r="AE28" s="1012" t="s">
        <v>238</v>
      </c>
      <c r="AF28" s="1015">
        <f t="shared" si="1"/>
        <v>0</v>
      </c>
      <c r="AG28" s="1">
        <f t="shared" si="2"/>
        <v>1</v>
      </c>
    </row>
    <row r="29" spans="2:33" ht="30.75" customHeight="1" thickBot="1" x14ac:dyDescent="0.35">
      <c r="B29" s="35" t="s">
        <v>31</v>
      </c>
      <c r="C29" s="916">
        <f>S21+3</f>
        <v>21</v>
      </c>
      <c r="D29" s="903" t="s">
        <v>499</v>
      </c>
      <c r="E29" s="903" t="s">
        <v>500</v>
      </c>
      <c r="F29" s="917" t="s">
        <v>501</v>
      </c>
      <c r="G29" s="902">
        <f>C29+1</f>
        <v>22</v>
      </c>
      <c r="H29" s="903" t="s">
        <v>499</v>
      </c>
      <c r="I29" s="903" t="s">
        <v>500</v>
      </c>
      <c r="J29" s="904" t="s">
        <v>501</v>
      </c>
      <c r="K29" s="902">
        <f>G29+1</f>
        <v>23</v>
      </c>
      <c r="L29" s="903" t="s">
        <v>499</v>
      </c>
      <c r="M29" s="903" t="s">
        <v>500</v>
      </c>
      <c r="N29" s="904" t="s">
        <v>501</v>
      </c>
      <c r="O29" s="902">
        <f>K29+1</f>
        <v>24</v>
      </c>
      <c r="P29" s="903" t="s">
        <v>499</v>
      </c>
      <c r="Q29" s="903" t="s">
        <v>500</v>
      </c>
      <c r="R29" s="904" t="s">
        <v>501</v>
      </c>
      <c r="S29" s="902">
        <f>O29+1</f>
        <v>25</v>
      </c>
      <c r="T29" s="903" t="s">
        <v>499</v>
      </c>
      <c r="U29" s="903" t="s">
        <v>500</v>
      </c>
      <c r="V29" s="905" t="s">
        <v>501</v>
      </c>
      <c r="X29" s="1018">
        <f t="shared" si="3"/>
        <v>26</v>
      </c>
      <c r="Y29" s="1019" t="str">
        <f t="shared" si="0"/>
        <v>GAK 해피오산</v>
      </c>
      <c r="AD29" s="1">
        <f>IF(AG29="","",COUNTIFS($AG$4:AG29,AG29))</f>
        <v>24</v>
      </c>
      <c r="AE29" s="1012" t="s">
        <v>294</v>
      </c>
      <c r="AF29" s="1015">
        <f t="shared" si="1"/>
        <v>0</v>
      </c>
      <c r="AG29" s="1">
        <f t="shared" si="2"/>
        <v>1</v>
      </c>
    </row>
    <row r="30" spans="2:33" ht="30.75" customHeight="1" thickTop="1" x14ac:dyDescent="0.3">
      <c r="B30" s="1085" t="s">
        <v>9</v>
      </c>
      <c r="C30" s="908">
        <v>0.375</v>
      </c>
      <c r="D30" s="883" t="s">
        <v>384</v>
      </c>
      <c r="E30" s="884"/>
      <c r="F30" s="909"/>
      <c r="G30" s="882"/>
      <c r="H30" s="883"/>
      <c r="I30" s="884"/>
      <c r="J30" s="885"/>
      <c r="K30" s="882"/>
      <c r="L30" s="883"/>
      <c r="M30" s="884"/>
      <c r="N30" s="885"/>
      <c r="O30" s="882"/>
      <c r="P30" s="883"/>
      <c r="Q30" s="884"/>
      <c r="R30" s="885"/>
      <c r="S30" s="882"/>
      <c r="T30" s="883"/>
      <c r="U30" s="884"/>
      <c r="V30" s="886"/>
      <c r="X30" s="1018">
        <f t="shared" si="3"/>
        <v>27</v>
      </c>
      <c r="Y30" s="1019" t="str">
        <f t="shared" si="0"/>
        <v>GA스타 위드라이프코어</v>
      </c>
      <c r="AD30" s="1">
        <f>IF(AG30="","",COUNTIFS($AG$4:AG30,AG30))</f>
        <v>25</v>
      </c>
      <c r="AE30" s="1012" t="s">
        <v>658</v>
      </c>
      <c r="AF30" s="1015">
        <f t="shared" si="1"/>
        <v>0</v>
      </c>
      <c r="AG30" s="1">
        <f t="shared" si="2"/>
        <v>1</v>
      </c>
    </row>
    <row r="31" spans="2:33" ht="30.75" customHeight="1" x14ac:dyDescent="0.3">
      <c r="B31" s="1085"/>
      <c r="C31" s="1064">
        <v>0.4375</v>
      </c>
      <c r="D31" s="888" t="s">
        <v>724</v>
      </c>
      <c r="E31" s="889"/>
      <c r="F31" s="911"/>
      <c r="G31" s="887"/>
      <c r="H31" s="888"/>
      <c r="I31" s="889"/>
      <c r="J31" s="890"/>
      <c r="K31" s="906"/>
      <c r="L31" s="888"/>
      <c r="M31" s="889"/>
      <c r="N31" s="890"/>
      <c r="O31" s="906"/>
      <c r="P31" s="888"/>
      <c r="Q31" s="889"/>
      <c r="R31" s="890"/>
      <c r="S31" s="887"/>
      <c r="T31" s="888"/>
      <c r="U31" s="889"/>
      <c r="V31" s="891"/>
      <c r="X31" s="1018">
        <f t="shared" si="3"/>
        <v>28</v>
      </c>
      <c r="Y31" s="1019" t="str">
        <f t="shared" si="0"/>
        <v>GA스타 베스트평택</v>
      </c>
      <c r="AD31" s="1">
        <f>IF(AG31="","",COUNTIFS($AG$4:AG31,AG31))</f>
        <v>26</v>
      </c>
      <c r="AE31" s="1014" t="s">
        <v>72</v>
      </c>
      <c r="AF31" s="1015">
        <f t="shared" si="1"/>
        <v>0</v>
      </c>
      <c r="AG31" s="1">
        <f t="shared" si="2"/>
        <v>1</v>
      </c>
    </row>
    <row r="32" spans="2:33" ht="30.75" customHeight="1" x14ac:dyDescent="0.3">
      <c r="B32" s="1085"/>
      <c r="C32" s="912"/>
      <c r="D32" s="893"/>
      <c r="E32" s="894"/>
      <c r="F32" s="913"/>
      <c r="G32" s="892"/>
      <c r="H32" s="893"/>
      <c r="I32" s="894"/>
      <c r="J32" s="895"/>
      <c r="K32" s="892"/>
      <c r="L32" s="893"/>
      <c r="M32" s="894"/>
      <c r="N32" s="895"/>
      <c r="O32" s="892"/>
      <c r="P32" s="893"/>
      <c r="Q32" s="894"/>
      <c r="R32" s="895"/>
      <c r="S32" s="892"/>
      <c r="T32" s="893"/>
      <c r="U32" s="894"/>
      <c r="V32" s="896"/>
      <c r="X32" s="1018">
        <f t="shared" si="3"/>
        <v>29</v>
      </c>
      <c r="Y32" s="1019" t="str">
        <f t="shared" si="0"/>
        <v>GA스타 베스트수원</v>
      </c>
      <c r="AD32" s="1">
        <f>IF(AG32="","",COUNTIFS($AG$4:AG32,AG32))</f>
        <v>27</v>
      </c>
      <c r="AE32" s="1014" t="s">
        <v>452</v>
      </c>
      <c r="AF32" s="1015">
        <f t="shared" si="1"/>
        <v>0</v>
      </c>
      <c r="AG32" s="1">
        <f t="shared" si="2"/>
        <v>1</v>
      </c>
    </row>
    <row r="33" spans="2:33" ht="42" customHeight="1" x14ac:dyDescent="0.3">
      <c r="B33" s="1086"/>
      <c r="C33" s="1320"/>
      <c r="D33" s="1313"/>
      <c r="E33" s="1313"/>
      <c r="F33" s="1319"/>
      <c r="G33" s="1312"/>
      <c r="H33" s="1313"/>
      <c r="I33" s="1313"/>
      <c r="J33" s="1319"/>
      <c r="K33" s="1312"/>
      <c r="L33" s="1313"/>
      <c r="M33" s="1313"/>
      <c r="N33" s="1319"/>
      <c r="O33" s="1312"/>
      <c r="P33" s="1313"/>
      <c r="Q33" s="1313"/>
      <c r="R33" s="1319"/>
      <c r="S33" s="1312"/>
      <c r="T33" s="1313"/>
      <c r="U33" s="1313"/>
      <c r="V33" s="1313"/>
      <c r="X33" s="1018">
        <f t="shared" si="3"/>
        <v>30</v>
      </c>
      <c r="Y33" s="1019" t="str">
        <f t="shared" si="0"/>
        <v>GA스타 밸류코어</v>
      </c>
      <c r="AD33" s="1">
        <f>IF(AG33="","",COUNTIFS($AG$4:AG33,AG33))</f>
        <v>28</v>
      </c>
      <c r="AE33" s="1014" t="s">
        <v>659</v>
      </c>
      <c r="AF33" s="1015">
        <f t="shared" si="1"/>
        <v>0</v>
      </c>
      <c r="AG33" s="1">
        <f t="shared" si="2"/>
        <v>1</v>
      </c>
    </row>
    <row r="34" spans="2:33" ht="30.75" customHeight="1" x14ac:dyDescent="0.3">
      <c r="B34" s="1079" t="s">
        <v>12</v>
      </c>
      <c r="C34" s="62"/>
      <c r="D34" s="63"/>
      <c r="E34" s="64"/>
      <c r="F34" s="61"/>
      <c r="G34" s="65"/>
      <c r="H34" s="63"/>
      <c r="I34" s="64"/>
      <c r="J34" s="66"/>
      <c r="K34" s="65"/>
      <c r="L34" s="63"/>
      <c r="M34" s="64"/>
      <c r="N34" s="66"/>
      <c r="O34" s="65"/>
      <c r="P34" s="63"/>
      <c r="Q34" s="64"/>
      <c r="R34" s="66"/>
      <c r="S34" s="65"/>
      <c r="T34" s="63"/>
      <c r="U34" s="64"/>
      <c r="V34" s="67"/>
      <c r="X34" s="1018">
        <f t="shared" si="3"/>
        <v>31</v>
      </c>
      <c r="Y34" s="1019" t="str">
        <f t="shared" si="0"/>
        <v>인슈프라자 본점</v>
      </c>
      <c r="AD34" s="1">
        <f>IF(AG34="","",COUNTIFS($AG$4:AG34,AG34))</f>
        <v>29</v>
      </c>
      <c r="AE34" s="1014" t="s">
        <v>660</v>
      </c>
      <c r="AF34" s="1015">
        <f t="shared" si="1"/>
        <v>0</v>
      </c>
      <c r="AG34" s="1">
        <f t="shared" si="2"/>
        <v>1</v>
      </c>
    </row>
    <row r="35" spans="2:33" ht="30.75" customHeight="1" x14ac:dyDescent="0.3">
      <c r="B35" s="1080"/>
      <c r="C35" s="69"/>
      <c r="D35" s="70"/>
      <c r="E35" s="71"/>
      <c r="F35" s="68"/>
      <c r="G35" s="72"/>
      <c r="H35" s="70"/>
      <c r="I35" s="71"/>
      <c r="J35" s="73"/>
      <c r="K35" s="72"/>
      <c r="L35" s="70"/>
      <c r="M35" s="71"/>
      <c r="N35" s="73"/>
      <c r="O35" s="72"/>
      <c r="P35" s="70"/>
      <c r="Q35" s="71"/>
      <c r="R35" s="73"/>
      <c r="S35" s="72"/>
      <c r="T35" s="70"/>
      <c r="U35" s="71"/>
      <c r="V35" s="74"/>
      <c r="X35" s="1018">
        <f t="shared" si="3"/>
        <v>32</v>
      </c>
      <c r="Y35" s="1019" t="str">
        <f t="shared" si="0"/>
        <v>인슈프라자 인천</v>
      </c>
      <c r="AD35" s="1">
        <f>IF(AG35="","",COUNTIFS($AG$4:AG35,AG35))</f>
        <v>30</v>
      </c>
      <c r="AE35" s="1014" t="s">
        <v>433</v>
      </c>
      <c r="AF35" s="1015">
        <f t="shared" si="1"/>
        <v>0</v>
      </c>
      <c r="AG35" s="1">
        <f t="shared" si="2"/>
        <v>1</v>
      </c>
    </row>
    <row r="36" spans="2:33" ht="30.75" customHeight="1" x14ac:dyDescent="0.3">
      <c r="B36" s="9" t="s">
        <v>13</v>
      </c>
      <c r="C36" s="914"/>
      <c r="D36" s="898"/>
      <c r="E36" s="899"/>
      <c r="F36" s="915"/>
      <c r="G36" s="897"/>
      <c r="H36" s="898"/>
      <c r="I36" s="899"/>
      <c r="J36" s="900"/>
      <c r="K36" s="897"/>
      <c r="L36" s="898"/>
      <c r="M36" s="899"/>
      <c r="N36" s="900"/>
      <c r="O36" s="897"/>
      <c r="P36" s="898"/>
      <c r="Q36" s="899"/>
      <c r="R36" s="900"/>
      <c r="S36" s="907"/>
      <c r="T36" s="898"/>
      <c r="U36" s="899"/>
      <c r="V36" s="901"/>
      <c r="X36" s="1018">
        <f t="shared" si="3"/>
        <v>33</v>
      </c>
      <c r="Y36" s="1019" t="str">
        <f t="shared" si="0"/>
        <v>신금플 GF송탄</v>
      </c>
      <c r="AD36" s="1">
        <f>IF(AG36="","",COUNTIFS($AG$4:AG36,AG36))</f>
        <v>31</v>
      </c>
      <c r="AE36" s="1012" t="s">
        <v>491</v>
      </c>
      <c r="AF36" s="1015">
        <f t="shared" si="1"/>
        <v>0</v>
      </c>
      <c r="AG36" s="1">
        <f t="shared" si="2"/>
        <v>1</v>
      </c>
    </row>
    <row r="37" spans="2:33" ht="30.75" customHeight="1" thickBot="1" x14ac:dyDescent="0.35">
      <c r="B37" s="35" t="s">
        <v>32</v>
      </c>
      <c r="C37" s="916">
        <f>S29+3</f>
        <v>28</v>
      </c>
      <c r="D37" s="903" t="s">
        <v>499</v>
      </c>
      <c r="E37" s="903" t="s">
        <v>500</v>
      </c>
      <c r="F37" s="917" t="s">
        <v>501</v>
      </c>
      <c r="G37" s="902">
        <f>C37+1</f>
        <v>29</v>
      </c>
      <c r="H37" s="903" t="s">
        <v>499</v>
      </c>
      <c r="I37" s="903" t="s">
        <v>500</v>
      </c>
      <c r="J37" s="904" t="s">
        <v>501</v>
      </c>
      <c r="K37" s="902">
        <f>G37+1</f>
        <v>30</v>
      </c>
      <c r="L37" s="903" t="s">
        <v>499</v>
      </c>
      <c r="M37" s="903" t="s">
        <v>500</v>
      </c>
      <c r="N37" s="904" t="s">
        <v>501</v>
      </c>
      <c r="O37" s="902">
        <f>K37+1</f>
        <v>31</v>
      </c>
      <c r="P37" s="903" t="s">
        <v>499</v>
      </c>
      <c r="Q37" s="903" t="s">
        <v>500</v>
      </c>
      <c r="R37" s="904" t="s">
        <v>501</v>
      </c>
      <c r="S37" s="918"/>
      <c r="T37" s="919"/>
      <c r="U37" s="919"/>
      <c r="V37" s="921"/>
      <c r="X37" s="1018">
        <f t="shared" si="3"/>
        <v>34</v>
      </c>
      <c r="Y37" s="1019" t="str">
        <f t="shared" si="0"/>
        <v>신금플 쥬피터</v>
      </c>
      <c r="AD37" s="1">
        <f>IF(AG37="","",COUNTIFS($AG$4:AG37,AG37))</f>
        <v>32</v>
      </c>
      <c r="AE37" s="1012" t="s">
        <v>638</v>
      </c>
      <c r="AF37" s="1015">
        <f t="shared" si="1"/>
        <v>0</v>
      </c>
      <c r="AG37" s="1">
        <f t="shared" si="2"/>
        <v>1</v>
      </c>
    </row>
    <row r="38" spans="2:33" ht="30.75" customHeight="1" thickTop="1" x14ac:dyDescent="0.3">
      <c r="B38" s="1085" t="s">
        <v>9</v>
      </c>
      <c r="C38" s="908"/>
      <c r="D38" s="883"/>
      <c r="E38" s="884"/>
      <c r="F38" s="909"/>
      <c r="G38" s="882">
        <v>0.375</v>
      </c>
      <c r="H38" s="883" t="s">
        <v>284</v>
      </c>
      <c r="I38" s="884"/>
      <c r="J38" s="885"/>
      <c r="K38" s="882"/>
      <c r="L38" s="883"/>
      <c r="M38" s="884"/>
      <c r="N38" s="885"/>
      <c r="O38" s="882"/>
      <c r="P38" s="883"/>
      <c r="Q38" s="884"/>
      <c r="R38" s="885"/>
      <c r="S38" s="857"/>
      <c r="T38" s="858"/>
      <c r="U38" s="859"/>
      <c r="V38" s="922"/>
      <c r="X38" s="1018">
        <f t="shared" si="3"/>
        <v>35</v>
      </c>
      <c r="Y38" s="1019" t="str">
        <f t="shared" si="0"/>
        <v>삼금파 병점</v>
      </c>
      <c r="AD38" s="1">
        <f>IF(AG38="","",COUNTIFS($AG$4:AG38,AG38))</f>
        <v>33</v>
      </c>
      <c r="AE38" s="1012" t="s">
        <v>637</v>
      </c>
      <c r="AF38" s="1015">
        <f t="shared" si="1"/>
        <v>0</v>
      </c>
      <c r="AG38" s="1">
        <f t="shared" si="2"/>
        <v>1</v>
      </c>
    </row>
    <row r="39" spans="2:33" ht="30.75" customHeight="1" x14ac:dyDescent="0.3">
      <c r="B39" s="1085"/>
      <c r="C39" s="910"/>
      <c r="D39" s="888"/>
      <c r="E39" s="889"/>
      <c r="F39" s="911"/>
      <c r="G39" s="887"/>
      <c r="H39" s="888"/>
      <c r="I39" s="889"/>
      <c r="J39" s="890"/>
      <c r="K39" s="887"/>
      <c r="L39" s="888"/>
      <c r="M39" s="889"/>
      <c r="N39" s="890"/>
      <c r="O39" s="887"/>
      <c r="P39" s="888"/>
      <c r="Q39" s="889"/>
      <c r="R39" s="890"/>
      <c r="S39" s="861"/>
      <c r="T39" s="862"/>
      <c r="U39" s="863"/>
      <c r="V39" s="923"/>
      <c r="X39" s="1018">
        <f t="shared" si="3"/>
        <v>36</v>
      </c>
      <c r="Y39" s="1019" t="str">
        <f t="shared" si="0"/>
        <v>삼금파 미도</v>
      </c>
      <c r="AD39" s="1">
        <f>IF(AG39="","",COUNTIFS($AG$4:AG39,AG39))</f>
        <v>34</v>
      </c>
      <c r="AE39" s="1012" t="s">
        <v>41</v>
      </c>
      <c r="AF39" s="1015">
        <f t="shared" si="1"/>
        <v>0</v>
      </c>
      <c r="AG39" s="1">
        <f t="shared" si="2"/>
        <v>1</v>
      </c>
    </row>
    <row r="40" spans="2:33" ht="30.75" customHeight="1" x14ac:dyDescent="0.3">
      <c r="B40" s="1085"/>
      <c r="C40" s="912"/>
      <c r="D40" s="893"/>
      <c r="E40" s="894"/>
      <c r="F40" s="913"/>
      <c r="G40" s="892"/>
      <c r="H40" s="893"/>
      <c r="I40" s="894"/>
      <c r="J40" s="895"/>
      <c r="K40" s="892"/>
      <c r="L40" s="893"/>
      <c r="M40" s="894"/>
      <c r="N40" s="895"/>
      <c r="O40" s="892"/>
      <c r="P40" s="893"/>
      <c r="Q40" s="894"/>
      <c r="R40" s="895"/>
      <c r="S40" s="866"/>
      <c r="T40" s="867"/>
      <c r="U40" s="868"/>
      <c r="V40" s="924"/>
      <c r="X40" s="1018">
        <f t="shared" si="3"/>
        <v>37</v>
      </c>
      <c r="Y40" s="1019" t="str">
        <f t="shared" si="0"/>
        <v>지금융 시온</v>
      </c>
      <c r="AD40" s="1">
        <f>IF(AG40="","",COUNTIFS($AG$4:AG40,AG40))</f>
        <v>35</v>
      </c>
      <c r="AE40" s="1012" t="s">
        <v>662</v>
      </c>
      <c r="AF40" s="1015">
        <f t="shared" si="1"/>
        <v>0</v>
      </c>
      <c r="AG40" s="1">
        <f t="shared" si="2"/>
        <v>1</v>
      </c>
    </row>
    <row r="41" spans="2:33" ht="42" customHeight="1" x14ac:dyDescent="0.3">
      <c r="B41" s="1086"/>
      <c r="C41" s="1320"/>
      <c r="D41" s="1313"/>
      <c r="E41" s="1313"/>
      <c r="F41" s="1319"/>
      <c r="G41" s="1312"/>
      <c r="H41" s="1313"/>
      <c r="I41" s="1313"/>
      <c r="J41" s="1319"/>
      <c r="K41" s="1312"/>
      <c r="L41" s="1313"/>
      <c r="M41" s="1313"/>
      <c r="N41" s="1319"/>
      <c r="O41" s="1312"/>
      <c r="P41" s="1313"/>
      <c r="Q41" s="1313"/>
      <c r="R41" s="1319"/>
      <c r="S41" s="1316"/>
      <c r="T41" s="1317"/>
      <c r="U41" s="1317"/>
      <c r="V41" s="1317"/>
      <c r="X41" s="1018">
        <f t="shared" si="3"/>
        <v>38</v>
      </c>
      <c r="Y41" s="1019" t="str">
        <f t="shared" si="0"/>
        <v>원금융 MVP</v>
      </c>
      <c r="AD41" s="1">
        <f>IF(AG41="","",COUNTIFS($AG$4:AG41,AG41))</f>
        <v>36</v>
      </c>
      <c r="AE41" s="1012" t="s">
        <v>94</v>
      </c>
      <c r="AF41" s="1015">
        <f t="shared" si="1"/>
        <v>0</v>
      </c>
      <c r="AG41" s="1">
        <f t="shared" si="2"/>
        <v>1</v>
      </c>
    </row>
    <row r="42" spans="2:33" ht="30.75" customHeight="1" x14ac:dyDescent="0.3">
      <c r="B42" s="1079" t="s">
        <v>12</v>
      </c>
      <c r="C42" s="62"/>
      <c r="D42" s="63"/>
      <c r="E42" s="64"/>
      <c r="F42" s="61"/>
      <c r="G42" s="65"/>
      <c r="H42" s="63"/>
      <c r="I42" s="64"/>
      <c r="J42" s="66"/>
      <c r="K42" s="65"/>
      <c r="L42" s="63"/>
      <c r="M42" s="64"/>
      <c r="N42" s="66"/>
      <c r="O42" s="65"/>
      <c r="P42" s="63"/>
      <c r="Q42" s="64"/>
      <c r="R42" s="66"/>
      <c r="S42" s="870"/>
      <c r="T42" s="871"/>
      <c r="U42" s="872"/>
      <c r="V42" s="925"/>
      <c r="X42" s="1018">
        <f t="shared" si="3"/>
        <v>39</v>
      </c>
      <c r="Y42" s="1019" t="str">
        <f t="shared" si="0"/>
        <v>디딤돌에셋 수원</v>
      </c>
      <c r="AD42" s="1">
        <f>IF(AG42="","",COUNTIFS($AG$4:AG42,AG42))</f>
        <v>37</v>
      </c>
      <c r="AE42" s="1012" t="s">
        <v>170</v>
      </c>
      <c r="AF42" s="1015">
        <f t="shared" si="1"/>
        <v>0</v>
      </c>
      <c r="AG42" s="1">
        <f t="shared" si="2"/>
        <v>1</v>
      </c>
    </row>
    <row r="43" spans="2:33" ht="30.75" customHeight="1" x14ac:dyDescent="0.3">
      <c r="B43" s="1080"/>
      <c r="C43" s="69"/>
      <c r="D43" s="70"/>
      <c r="E43" s="71"/>
      <c r="F43" s="68"/>
      <c r="G43" s="72"/>
      <c r="H43" s="70"/>
      <c r="I43" s="71"/>
      <c r="J43" s="73"/>
      <c r="K43" s="72"/>
      <c r="L43" s="70"/>
      <c r="M43" s="71"/>
      <c r="N43" s="73"/>
      <c r="O43" s="72"/>
      <c r="P43" s="70"/>
      <c r="Q43" s="71"/>
      <c r="R43" s="73"/>
      <c r="S43" s="874"/>
      <c r="T43" s="875"/>
      <c r="U43" s="876"/>
      <c r="V43" s="926"/>
      <c r="X43" s="1018">
        <f t="shared" si="3"/>
        <v>40</v>
      </c>
      <c r="Y43" s="1019" t="str">
        <f t="shared" si="0"/>
        <v>인카 가온에셋</v>
      </c>
      <c r="AD43" s="1">
        <f>IF(AG43="","",COUNTIFS($AG$4:AG43,AG43))</f>
        <v>38</v>
      </c>
      <c r="AE43" s="1012" t="s">
        <v>456</v>
      </c>
      <c r="AF43" s="1015">
        <f t="shared" si="1"/>
        <v>0</v>
      </c>
      <c r="AG43" s="1">
        <f t="shared" si="2"/>
        <v>1</v>
      </c>
    </row>
    <row r="44" spans="2:33" ht="30.75" customHeight="1" x14ac:dyDescent="0.3">
      <c r="B44" s="9" t="s">
        <v>13</v>
      </c>
      <c r="C44" s="914"/>
      <c r="D44" s="898"/>
      <c r="E44" s="899"/>
      <c r="F44" s="915"/>
      <c r="G44" s="897"/>
      <c r="H44" s="898"/>
      <c r="I44" s="899"/>
      <c r="J44" s="900"/>
      <c r="K44" s="897"/>
      <c r="L44" s="898"/>
      <c r="M44" s="899"/>
      <c r="N44" s="900"/>
      <c r="O44" s="897"/>
      <c r="P44" s="898"/>
      <c r="Q44" s="899"/>
      <c r="R44" s="900"/>
      <c r="S44" s="878"/>
      <c r="T44" s="879"/>
      <c r="U44" s="880"/>
      <c r="V44" s="927"/>
      <c r="X44" s="1018">
        <f t="shared" si="3"/>
        <v>41</v>
      </c>
      <c r="Y44" s="1019" t="str">
        <f t="shared" si="0"/>
        <v>인카 스카이</v>
      </c>
      <c r="AD44" s="1">
        <f>IF(AG44="","",COUNTIFS($AG$4:AG44,AG44))</f>
        <v>39</v>
      </c>
      <c r="AE44" s="1012" t="s">
        <v>106</v>
      </c>
      <c r="AF44" s="1015">
        <f t="shared" si="1"/>
        <v>0</v>
      </c>
      <c r="AG44" s="1">
        <f t="shared" si="2"/>
        <v>1</v>
      </c>
    </row>
    <row r="45" spans="2:33" ht="30.75" customHeight="1" x14ac:dyDescent="0.3">
      <c r="X45" s="1018">
        <f t="shared" si="3"/>
        <v>42</v>
      </c>
      <c r="Y45" s="1019" t="str">
        <f t="shared" si="0"/>
        <v>인카 다이렉트비전</v>
      </c>
      <c r="AD45" s="1">
        <f>IF(AG45="","",COUNTIFS($AG$4:AG45,AG45))</f>
        <v>40</v>
      </c>
      <c r="AE45" s="1016" t="s">
        <v>455</v>
      </c>
      <c r="AF45" s="1015">
        <f t="shared" si="1"/>
        <v>0</v>
      </c>
      <c r="AG45" s="1">
        <f t="shared" si="2"/>
        <v>1</v>
      </c>
    </row>
    <row r="46" spans="2:33" ht="30.75" customHeight="1" x14ac:dyDescent="0.3">
      <c r="X46" s="1018">
        <f t="shared" si="3"/>
        <v>43</v>
      </c>
      <c r="Y46" s="1019" t="str">
        <f t="shared" si="0"/>
        <v>인카 가온누리</v>
      </c>
      <c r="AD46" s="1">
        <f>IF(AG46="","",COUNTIFS($AG$4:AG46,AG46))</f>
        <v>41</v>
      </c>
      <c r="AE46" s="1016" t="s">
        <v>268</v>
      </c>
      <c r="AF46" s="1015">
        <f t="shared" si="1"/>
        <v>0</v>
      </c>
      <c r="AG46" s="1">
        <f t="shared" si="2"/>
        <v>1</v>
      </c>
    </row>
    <row r="47" spans="2:33" ht="30.75" customHeight="1" x14ac:dyDescent="0.3">
      <c r="X47" s="1018">
        <f t="shared" si="3"/>
        <v>44</v>
      </c>
      <c r="Y47" s="1019" t="str">
        <f t="shared" si="0"/>
        <v>인카 이든</v>
      </c>
      <c r="AD47" s="1">
        <f>IF(AG47="","",COUNTIFS($AG$4:AG47,AG47))</f>
        <v>42</v>
      </c>
      <c r="AE47" s="1016" t="s">
        <v>34</v>
      </c>
      <c r="AF47" s="1015">
        <f t="shared" si="1"/>
        <v>0</v>
      </c>
      <c r="AG47" s="1">
        <f t="shared" si="2"/>
        <v>1</v>
      </c>
    </row>
    <row r="48" spans="2:33" ht="30.75" customHeight="1" x14ac:dyDescent="0.3">
      <c r="X48" s="1018">
        <f t="shared" si="3"/>
        <v>45</v>
      </c>
      <c r="Y48" s="1019" t="str">
        <f t="shared" si="0"/>
        <v>인카 스마트평택</v>
      </c>
      <c r="AD48" s="1">
        <f>IF(AG48="","",COUNTIFS($AG$4:AG48,AG48))</f>
        <v>43</v>
      </c>
      <c r="AE48" s="1016" t="s">
        <v>46</v>
      </c>
      <c r="AF48" s="1015">
        <f t="shared" si="1"/>
        <v>0</v>
      </c>
      <c r="AG48" s="1">
        <f t="shared" si="2"/>
        <v>1</v>
      </c>
    </row>
    <row r="49" spans="24:33" ht="30.75" customHeight="1" x14ac:dyDescent="0.3">
      <c r="X49" s="1018">
        <f t="shared" si="3"/>
        <v>46</v>
      </c>
      <c r="Y49" s="1019" t="str">
        <f t="shared" si="0"/>
        <v>인카 경기남부</v>
      </c>
      <c r="AD49" s="1">
        <f>IF(AG49="","",COUNTIFS($AG$4:AG49,AG49))</f>
        <v>44</v>
      </c>
      <c r="AE49" s="1016" t="s">
        <v>89</v>
      </c>
      <c r="AF49" s="1015">
        <f t="shared" si="1"/>
        <v>0</v>
      </c>
      <c r="AG49" s="1">
        <f t="shared" si="2"/>
        <v>1</v>
      </c>
    </row>
    <row r="50" spans="24:33" ht="30.75" customHeight="1" x14ac:dyDescent="0.3">
      <c r="X50" s="1018">
        <f t="shared" si="3"/>
        <v>47</v>
      </c>
      <c r="Y50" s="1019" t="str">
        <f t="shared" si="0"/>
        <v>메타리치 하이리치</v>
      </c>
      <c r="AD50" s="1">
        <f>IF(AG50="","",COUNTIFS($AG$4:AG50,AG50))</f>
        <v>45</v>
      </c>
      <c r="AE50" s="1016" t="s">
        <v>663</v>
      </c>
      <c r="AF50" s="1015">
        <f t="shared" si="1"/>
        <v>0</v>
      </c>
      <c r="AG50" s="1">
        <f t="shared" si="2"/>
        <v>1</v>
      </c>
    </row>
    <row r="51" spans="24:33" ht="30.75" customHeight="1" x14ac:dyDescent="0.3">
      <c r="X51" s="1018">
        <f t="shared" si="3"/>
        <v>48</v>
      </c>
      <c r="Y51" s="1019" t="str">
        <f t="shared" si="0"/>
        <v>더베스트 이재명 평택</v>
      </c>
      <c r="AD51" s="1">
        <f>IF(AG51="","",COUNTIFS($AG$4:AG51,AG51))</f>
        <v>46</v>
      </c>
      <c r="AE51" s="1016" t="s">
        <v>630</v>
      </c>
      <c r="AF51" s="1015">
        <f t="shared" si="1"/>
        <v>0</v>
      </c>
      <c r="AG51" s="1">
        <f t="shared" si="2"/>
        <v>1</v>
      </c>
    </row>
    <row r="52" spans="24:33" ht="30.75" customHeight="1" x14ac:dyDescent="0.3">
      <c r="X52" s="1018">
        <f t="shared" si="3"/>
        <v>49</v>
      </c>
      <c r="Y52" s="1019" t="str">
        <f t="shared" si="0"/>
        <v>더베스트 이재명 인천</v>
      </c>
      <c r="AD52" s="1">
        <f>IF(AG52="","",COUNTIFS($AG$4:AG52,AG52))</f>
        <v>47</v>
      </c>
      <c r="AE52" s="1012" t="s">
        <v>673</v>
      </c>
      <c r="AF52" s="1015">
        <f t="shared" si="1"/>
        <v>0</v>
      </c>
      <c r="AG52" s="1">
        <f t="shared" si="2"/>
        <v>1</v>
      </c>
    </row>
    <row r="53" spans="24:33" ht="30.75" customHeight="1" x14ac:dyDescent="0.3">
      <c r="X53" s="1018">
        <f t="shared" si="3"/>
        <v>50</v>
      </c>
      <c r="Y53" s="1019" t="str">
        <f t="shared" si="0"/>
        <v>더베스트 이재명 수원</v>
      </c>
      <c r="AD53" s="1">
        <f>IF(AG53="","",COUNTIFS($AG$4:AG53,AG53))</f>
        <v>48</v>
      </c>
      <c r="AE53" s="1012" t="s">
        <v>173</v>
      </c>
      <c r="AF53" s="1015">
        <f t="shared" si="1"/>
        <v>0</v>
      </c>
      <c r="AG53" s="1">
        <f t="shared" si="2"/>
        <v>1</v>
      </c>
    </row>
    <row r="54" spans="24:33" ht="30.75" customHeight="1" x14ac:dyDescent="0.3">
      <c r="X54" s="1018">
        <f t="shared" si="3"/>
        <v>51</v>
      </c>
      <c r="Y54" s="1019" t="str">
        <f t="shared" si="0"/>
        <v>더베스트 이재명 당진</v>
      </c>
      <c r="AD54" s="1">
        <f>IF(AG54="","",COUNTIFS($AG$4:AG54,AG54))</f>
        <v>49</v>
      </c>
      <c r="AE54" s="1012" t="s">
        <v>641</v>
      </c>
      <c r="AF54" s="1015">
        <f t="shared" si="1"/>
        <v>0</v>
      </c>
      <c r="AG54" s="1">
        <f t="shared" si="2"/>
        <v>1</v>
      </c>
    </row>
    <row r="55" spans="24:33" ht="30.75" customHeight="1" x14ac:dyDescent="0.3">
      <c r="X55" s="1018">
        <f t="shared" si="3"/>
        <v>52</v>
      </c>
      <c r="Y55" s="1019" t="str">
        <f t="shared" si="0"/>
        <v>더베스트 이재명 구미</v>
      </c>
      <c r="AB55" s="1015"/>
      <c r="AC55" s="1015"/>
      <c r="AD55" s="1">
        <f>IF(AG55="","",COUNTIFS($AG$4:AG55,AG55))</f>
        <v>50</v>
      </c>
      <c r="AE55" s="1012" t="s">
        <v>651</v>
      </c>
      <c r="AF55" s="1015">
        <f t="shared" si="1"/>
        <v>0</v>
      </c>
      <c r="AG55" s="1">
        <f t="shared" si="2"/>
        <v>1</v>
      </c>
    </row>
    <row r="56" spans="24:33" ht="30.75" customHeight="1" x14ac:dyDescent="0.3">
      <c r="X56" s="1018">
        <f t="shared" si="3"/>
        <v>53</v>
      </c>
      <c r="Y56" s="1019" t="str">
        <f t="shared" si="0"/>
        <v>더베스트 이재명 고덕</v>
      </c>
      <c r="AB56" s="1015"/>
      <c r="AC56" s="1015"/>
      <c r="AD56" s="1">
        <f>IF(AG56="","",COUNTIFS($AG$4:AG56,AG56))</f>
        <v>51</v>
      </c>
      <c r="AE56" s="1012" t="s">
        <v>649</v>
      </c>
      <c r="AF56" s="1015">
        <f t="shared" si="1"/>
        <v>0</v>
      </c>
      <c r="AG56" s="1">
        <f t="shared" si="2"/>
        <v>1</v>
      </c>
    </row>
    <row r="57" spans="24:33" ht="30.75" customHeight="1" x14ac:dyDescent="0.3">
      <c r="X57" s="1018">
        <f t="shared" si="3"/>
        <v>54</v>
      </c>
      <c r="Y57" s="1019" t="str">
        <f t="shared" si="0"/>
        <v>더베스트 김효제 향남</v>
      </c>
      <c r="AB57" s="1015"/>
      <c r="AC57" s="1015"/>
      <c r="AD57" s="1">
        <f>IF(AG57="","",COUNTIFS($AG$4:AG57,AG57))</f>
        <v>52</v>
      </c>
      <c r="AE57" s="1012" t="s">
        <v>626</v>
      </c>
      <c r="AF57" s="1015">
        <f t="shared" si="1"/>
        <v>0</v>
      </c>
      <c r="AG57" s="1">
        <f t="shared" si="2"/>
        <v>1</v>
      </c>
    </row>
    <row r="58" spans="24:33" ht="30.75" customHeight="1" x14ac:dyDescent="0.3">
      <c r="X58" s="1018">
        <f t="shared" si="3"/>
        <v>55</v>
      </c>
      <c r="Y58" s="1019" t="str">
        <f t="shared" si="0"/>
        <v>더베스트 김효제 청라</v>
      </c>
      <c r="AB58" s="1015"/>
      <c r="AC58" s="1015"/>
      <c r="AD58" s="1">
        <f>IF(AG58="","",COUNTIFS($AG$4:AG58,AG58))</f>
        <v>53</v>
      </c>
      <c r="AE58" s="1012" t="s">
        <v>229</v>
      </c>
      <c r="AF58" s="1015">
        <f t="shared" si="1"/>
        <v>0</v>
      </c>
      <c r="AG58" s="1">
        <f t="shared" si="2"/>
        <v>1</v>
      </c>
    </row>
    <row r="59" spans="24:33" ht="30.75" customHeight="1" x14ac:dyDescent="0.3">
      <c r="X59" s="1018">
        <f t="shared" si="3"/>
        <v>56</v>
      </c>
      <c r="Y59" s="1019" t="str">
        <f t="shared" si="0"/>
        <v>더베스트 김효제 오산</v>
      </c>
      <c r="AB59" s="1015"/>
      <c r="AC59" s="1015"/>
      <c r="AD59" s="1">
        <f>IF(AG59="","",COUNTIFS($AG$4:AG59,AG59))</f>
        <v>54</v>
      </c>
      <c r="AE59" s="1012" t="s">
        <v>642</v>
      </c>
      <c r="AF59" s="1015">
        <f t="shared" si="1"/>
        <v>0</v>
      </c>
      <c r="AG59" s="1">
        <f t="shared" si="2"/>
        <v>1</v>
      </c>
    </row>
    <row r="60" spans="24:33" ht="30.75" customHeight="1" x14ac:dyDescent="0.3">
      <c r="X60" s="1018">
        <f t="shared" si="3"/>
        <v>57</v>
      </c>
      <c r="Y60" s="1019" t="str">
        <f t="shared" si="0"/>
        <v>더베스트 김효제 서수원</v>
      </c>
      <c r="AB60" s="1015"/>
      <c r="AC60" s="1015"/>
      <c r="AD60" s="1">
        <f>IF(AG60="","",COUNTIFS($AG$4:AG60,AG60))</f>
        <v>55</v>
      </c>
      <c r="AE60" s="1012" t="s">
        <v>640</v>
      </c>
      <c r="AF60" s="1015">
        <f t="shared" si="1"/>
        <v>0</v>
      </c>
      <c r="AG60" s="1">
        <f t="shared" si="2"/>
        <v>1</v>
      </c>
    </row>
    <row r="61" spans="24:33" ht="30.75" customHeight="1" x14ac:dyDescent="0.3">
      <c r="X61" s="1018">
        <f t="shared" si="3"/>
        <v>58</v>
      </c>
      <c r="Y61" s="1019" t="str">
        <f t="shared" si="0"/>
        <v>더베스트 김효제 동탄</v>
      </c>
      <c r="AB61" s="1015"/>
      <c r="AC61" s="1015"/>
      <c r="AD61" s="1">
        <f>IF(AG61="","",COUNTIFS($AG$4:AG61,AG61))</f>
        <v>56</v>
      </c>
      <c r="AE61" s="1012" t="s">
        <v>645</v>
      </c>
      <c r="AF61" s="1015">
        <f t="shared" si="1"/>
        <v>0</v>
      </c>
      <c r="AG61" s="1">
        <f t="shared" si="2"/>
        <v>1</v>
      </c>
    </row>
    <row r="62" spans="24:33" ht="30.75" customHeight="1" x14ac:dyDescent="0.3">
      <c r="X62" s="1018">
        <f t="shared" si="3"/>
        <v>59</v>
      </c>
      <c r="Y62" s="1019" t="str">
        <f t="shared" si="0"/>
        <v>더베스트 김효제 남양</v>
      </c>
      <c r="AB62" s="1015"/>
      <c r="AC62" s="1015"/>
      <c r="AD62" s="1">
        <f>IF(AG62="","",COUNTIFS($AG$4:AG62,AG62))</f>
        <v>57</v>
      </c>
      <c r="AE62" s="1012" t="s">
        <v>175</v>
      </c>
      <c r="AF62" s="1015">
        <f t="shared" si="1"/>
        <v>0</v>
      </c>
      <c r="AG62" s="1">
        <f t="shared" si="2"/>
        <v>1</v>
      </c>
    </row>
    <row r="63" spans="24:33" ht="30.75" customHeight="1" x14ac:dyDescent="0.3">
      <c r="X63" s="1018">
        <f t="shared" si="3"/>
        <v>60</v>
      </c>
      <c r="Y63" s="1019" t="str">
        <f t="shared" si="0"/>
        <v>더베스트 김효제 경기프리미엄</v>
      </c>
      <c r="AB63" s="1015"/>
      <c r="AC63" s="1015"/>
      <c r="AD63" s="1">
        <f>IF(AG63="","",COUNTIFS($AG$4:AG63,AG63))</f>
        <v>58</v>
      </c>
      <c r="AE63" s="1012" t="s">
        <v>648</v>
      </c>
      <c r="AF63" s="1015">
        <f t="shared" si="1"/>
        <v>0</v>
      </c>
      <c r="AG63" s="1">
        <f t="shared" si="2"/>
        <v>1</v>
      </c>
    </row>
    <row r="64" spans="24:33" ht="30.75" customHeight="1" x14ac:dyDescent="0.3">
      <c r="X64" s="1018">
        <f t="shared" si="3"/>
        <v>61</v>
      </c>
      <c r="Y64" s="1019" t="str">
        <f t="shared" si="0"/>
        <v>더베스트 김효제 경기VIP</v>
      </c>
      <c r="AB64" s="1015"/>
      <c r="AC64" s="1015"/>
      <c r="AD64" s="1">
        <f>IF(AG64="","",COUNTIFS($AG$4:AG64,AG64))</f>
        <v>59</v>
      </c>
      <c r="AE64" s="1012" t="s">
        <v>185</v>
      </c>
      <c r="AF64" s="1015">
        <f t="shared" si="1"/>
        <v>0</v>
      </c>
      <c r="AG64" s="1">
        <f t="shared" si="2"/>
        <v>1</v>
      </c>
    </row>
    <row r="65" spans="24:33" ht="30.75" customHeight="1" x14ac:dyDescent="0.3">
      <c r="X65" s="1018">
        <f t="shared" si="3"/>
        <v>62</v>
      </c>
      <c r="Y65" s="1019" t="str">
        <f t="shared" si="0"/>
        <v>더베스트 김효제 경기AS</v>
      </c>
      <c r="AB65" s="1015"/>
      <c r="AC65" s="1015"/>
      <c r="AD65" s="1">
        <f>IF(AG65="","",COUNTIFS($AG$4:AG65,AG65))</f>
        <v>60</v>
      </c>
      <c r="AE65" s="1012" t="s">
        <v>650</v>
      </c>
      <c r="AF65" s="1015">
        <f t="shared" si="1"/>
        <v>0</v>
      </c>
      <c r="AG65" s="1">
        <f t="shared" si="2"/>
        <v>1</v>
      </c>
    </row>
    <row r="66" spans="24:33" ht="30.75" customHeight="1" x14ac:dyDescent="0.3">
      <c r="X66" s="1018">
        <f t="shared" si="3"/>
        <v>63</v>
      </c>
      <c r="Y66" s="1019" t="str">
        <f t="shared" si="0"/>
        <v>엠금융 프레시어스</v>
      </c>
      <c r="AB66" s="1015"/>
      <c r="AC66" s="1015"/>
      <c r="AD66" s="1">
        <f>IF(AG66="","",COUNTIFS($AG$4:AG66,AG66))</f>
        <v>61</v>
      </c>
      <c r="AE66" s="1012" t="s">
        <v>643</v>
      </c>
      <c r="AF66" s="1015">
        <f t="shared" si="1"/>
        <v>0</v>
      </c>
      <c r="AG66" s="1">
        <f t="shared" si="2"/>
        <v>1</v>
      </c>
    </row>
    <row r="67" spans="24:33" ht="30.75" customHeight="1" x14ac:dyDescent="0.3">
      <c r="X67" s="1018">
        <f t="shared" si="3"/>
        <v>64</v>
      </c>
      <c r="Y67" s="1019" t="str">
        <f t="shared" si="0"/>
        <v>엠금융 더클래스</v>
      </c>
      <c r="AB67" s="1015"/>
      <c r="AC67" s="1015"/>
      <c r="AD67" s="1">
        <f>IF(AG67="","",COUNTIFS($AG$4:AG67,AG67))</f>
        <v>62</v>
      </c>
      <c r="AE67" s="1012" t="s">
        <v>644</v>
      </c>
      <c r="AF67" s="1015">
        <f t="shared" si="1"/>
        <v>0</v>
      </c>
      <c r="AG67" s="1">
        <f t="shared" si="2"/>
        <v>1</v>
      </c>
    </row>
    <row r="68" spans="24:33" ht="30.75" customHeight="1" x14ac:dyDescent="0.3">
      <c r="X68" s="1018">
        <f t="shared" si="3"/>
        <v>65</v>
      </c>
      <c r="Y68" s="1019" t="str">
        <f t="shared" ref="Y68:Y110" si="4">VLOOKUP(X68,$AD$4:$AE$111,2,FALSE)</f>
        <v>KGA 오산</v>
      </c>
      <c r="AB68" s="1015"/>
      <c r="AC68" s="1015"/>
      <c r="AD68" s="1">
        <f>IF(AG68="","",COUNTIFS($AG$4:AG68,AG68))</f>
        <v>63</v>
      </c>
      <c r="AE68" s="1012" t="s">
        <v>671</v>
      </c>
      <c r="AF68" s="1015">
        <f t="shared" ref="AF68:AF109" si="5">COUNTIFS($B$3:$V$46,AE68)</f>
        <v>0</v>
      </c>
      <c r="AG68" s="1">
        <f t="shared" si="2"/>
        <v>1</v>
      </c>
    </row>
    <row r="69" spans="24:33" ht="30.75" customHeight="1" x14ac:dyDescent="0.3">
      <c r="X69" s="1018">
        <f t="shared" si="3"/>
        <v>66</v>
      </c>
      <c r="Y69" s="1019" t="str">
        <f t="shared" si="4"/>
        <v>KGA 엠디</v>
      </c>
      <c r="AB69" s="1015"/>
      <c r="AC69" s="1015"/>
      <c r="AD69" s="1">
        <f>IF(AG69="","",COUNTIFS($AG$4:AG69,AG69))</f>
        <v>64</v>
      </c>
      <c r="AE69" s="1012" t="s">
        <v>672</v>
      </c>
      <c r="AF69" s="1015">
        <f t="shared" si="5"/>
        <v>0</v>
      </c>
      <c r="AG69" s="1">
        <f t="shared" ref="AG69:AG109" si="6">IF(AF69=0,1,"")</f>
        <v>1</v>
      </c>
    </row>
    <row r="70" spans="24:33" ht="30.75" customHeight="1" x14ac:dyDescent="0.3">
      <c r="X70" s="1018">
        <f t="shared" si="3"/>
        <v>67</v>
      </c>
      <c r="Y70" s="1019" t="str">
        <f t="shared" si="4"/>
        <v>KGA 마스타인스 파주</v>
      </c>
      <c r="AB70" s="1015"/>
      <c r="AC70" s="1015"/>
      <c r="AD70" s="1">
        <f>IF(AG70="","",COUNTIFS($AG$4:AG70,AG70))</f>
        <v>65</v>
      </c>
      <c r="AE70" s="1012" t="s">
        <v>84</v>
      </c>
      <c r="AF70" s="1015">
        <f t="shared" si="5"/>
        <v>0</v>
      </c>
      <c r="AG70" s="1">
        <f t="shared" si="6"/>
        <v>1</v>
      </c>
    </row>
    <row r="71" spans="24:33" ht="30.75" customHeight="1" x14ac:dyDescent="0.3">
      <c r="X71" s="1018">
        <f t="shared" si="3"/>
        <v>68</v>
      </c>
      <c r="Y71" s="1019" t="str">
        <f t="shared" si="4"/>
        <v>GAK 엠파이어평택</v>
      </c>
      <c r="AD71" s="1">
        <f>IF(AG71="","",COUNTIFS($AG$4:AG71,AG71))</f>
        <v>66</v>
      </c>
      <c r="AE71" s="1012" t="s">
        <v>124</v>
      </c>
      <c r="AF71" s="1015">
        <f t="shared" si="5"/>
        <v>0</v>
      </c>
      <c r="AG71" s="1">
        <f t="shared" si="6"/>
        <v>1</v>
      </c>
    </row>
    <row r="72" spans="24:33" ht="30.75" customHeight="1" x14ac:dyDescent="0.3">
      <c r="X72" s="1018">
        <f t="shared" si="3"/>
        <v>69</v>
      </c>
      <c r="Y72" s="1019" t="str">
        <f t="shared" si="4"/>
        <v>GAK 다온드림투</v>
      </c>
      <c r="AD72" s="1">
        <f>IF(AG72="","",COUNTIFS($AG$4:AG72,AG72))</f>
        <v>67</v>
      </c>
      <c r="AE72" s="1012" t="s">
        <v>285</v>
      </c>
      <c r="AF72" s="1015">
        <f t="shared" si="5"/>
        <v>0</v>
      </c>
      <c r="AG72" s="1">
        <f t="shared" si="6"/>
        <v>1</v>
      </c>
    </row>
    <row r="73" spans="24:33" ht="30.75" customHeight="1" x14ac:dyDescent="0.3">
      <c r="X73" s="1018">
        <f t="shared" si="3"/>
        <v>70</v>
      </c>
      <c r="Y73" s="1019" t="str">
        <f t="shared" si="4"/>
        <v>GAK 다성재무</v>
      </c>
      <c r="AD73" s="1">
        <f>IF(AG73="","",COUNTIFS($AG$4:AG73,AG73))</f>
        <v>68</v>
      </c>
      <c r="AE73" s="1012" t="s">
        <v>664</v>
      </c>
      <c r="AF73" s="1015">
        <f t="shared" si="5"/>
        <v>0</v>
      </c>
      <c r="AG73" s="1">
        <f t="shared" si="6"/>
        <v>1</v>
      </c>
    </row>
    <row r="74" spans="24:33" ht="30.75" customHeight="1" x14ac:dyDescent="0.3">
      <c r="X74" s="1018">
        <f t="shared" ref="X74:X110" si="7">X73+1</f>
        <v>71</v>
      </c>
      <c r="Y74" s="1019" t="str">
        <f t="shared" si="4"/>
        <v>GAK 해피오산세교</v>
      </c>
      <c r="AD74" s="1">
        <f>IF(AG74="","",COUNTIFS($AG$4:AG74,AG74))</f>
        <v>69</v>
      </c>
      <c r="AE74" s="1012" t="s">
        <v>258</v>
      </c>
      <c r="AF74" s="1015">
        <f t="shared" si="5"/>
        <v>0</v>
      </c>
      <c r="AG74" s="1">
        <f t="shared" si="6"/>
        <v>1</v>
      </c>
    </row>
    <row r="75" spans="24:33" ht="30.75" customHeight="1" x14ac:dyDescent="0.3">
      <c r="X75" s="1018">
        <f t="shared" si="7"/>
        <v>72</v>
      </c>
      <c r="Y75" s="1019" t="str">
        <f t="shared" si="4"/>
        <v>GAK 엠파이어라이프엣지</v>
      </c>
      <c r="AD75" s="1">
        <f>IF(AG75="","",COUNTIFS($AG$4:AG75,AG75))</f>
        <v>70</v>
      </c>
      <c r="AE75" s="1012" t="s">
        <v>665</v>
      </c>
      <c r="AF75" s="1015">
        <f t="shared" si="5"/>
        <v>0</v>
      </c>
      <c r="AG75" s="1">
        <f t="shared" si="6"/>
        <v>1</v>
      </c>
    </row>
    <row r="76" spans="24:33" ht="30.75" customHeight="1" x14ac:dyDescent="0.3">
      <c r="X76" s="1018">
        <f t="shared" si="7"/>
        <v>73</v>
      </c>
      <c r="Y76" s="1019" t="str">
        <f t="shared" si="4"/>
        <v>GAK 에셋마스터오케이</v>
      </c>
      <c r="AD76" s="1">
        <f>IF(AG76="","",COUNTIFS($AG$4:AG76,AG76))</f>
        <v>71</v>
      </c>
      <c r="AE76" s="1012" t="s">
        <v>666</v>
      </c>
      <c r="AF76" s="1015">
        <f t="shared" si="5"/>
        <v>0</v>
      </c>
      <c r="AG76" s="1">
        <f t="shared" si="6"/>
        <v>1</v>
      </c>
    </row>
    <row r="77" spans="24:33" ht="30.75" customHeight="1" x14ac:dyDescent="0.3">
      <c r="X77" s="1018">
        <f t="shared" si="7"/>
        <v>74</v>
      </c>
      <c r="Y77" s="1019" t="str">
        <f t="shared" si="4"/>
        <v>GAK 에셋마스터싼타티씨</v>
      </c>
      <c r="AD77" s="1">
        <f>IF(AG77="","",COUNTIFS($AG$4:AG77,AG77))</f>
        <v>72</v>
      </c>
      <c r="AE77" s="1012" t="s">
        <v>667</v>
      </c>
      <c r="AF77" s="1015">
        <f t="shared" si="5"/>
        <v>0</v>
      </c>
      <c r="AG77" s="1">
        <f t="shared" si="6"/>
        <v>1</v>
      </c>
    </row>
    <row r="78" spans="24:33" ht="30.75" customHeight="1" x14ac:dyDescent="0.3">
      <c r="X78" s="1018">
        <f t="shared" si="7"/>
        <v>75</v>
      </c>
      <c r="Y78" s="1019" t="str">
        <f t="shared" si="4"/>
        <v>GAK 에셋마스터마스타인스</v>
      </c>
      <c r="AD78" s="1">
        <f>IF(AG78="","",COUNTIFS($AG$4:AG78,AG78))</f>
        <v>73</v>
      </c>
      <c r="AE78" s="1012" t="s">
        <v>668</v>
      </c>
      <c r="AF78" s="1015">
        <f t="shared" si="5"/>
        <v>0</v>
      </c>
      <c r="AG78" s="1">
        <f t="shared" si="6"/>
        <v>1</v>
      </c>
    </row>
    <row r="79" spans="24:33" ht="30.75" customHeight="1" x14ac:dyDescent="0.3">
      <c r="X79" s="1018">
        <f t="shared" si="7"/>
        <v>76</v>
      </c>
      <c r="Y79" s="1019" t="str">
        <f t="shared" si="4"/>
        <v>GAK 새파랑다옴</v>
      </c>
      <c r="AD79" s="1">
        <f>IF(AG79="","",COUNTIFS($AG$4:AG79,AG79))</f>
        <v>74</v>
      </c>
      <c r="AE79" s="1012" t="s">
        <v>670</v>
      </c>
      <c r="AF79" s="1015">
        <f t="shared" si="5"/>
        <v>0</v>
      </c>
      <c r="AG79" s="1">
        <f t="shared" si="6"/>
        <v>1</v>
      </c>
    </row>
    <row r="80" spans="24:33" ht="30.75" customHeight="1" x14ac:dyDescent="0.3">
      <c r="X80" s="1018">
        <f t="shared" si="7"/>
        <v>77</v>
      </c>
      <c r="Y80" s="1019" t="str">
        <f t="shared" si="4"/>
        <v>GAK 케이라이프</v>
      </c>
      <c r="AD80" s="1">
        <f>IF(AG80="","",COUNTIFS($AG$4:AG80,AG80))</f>
        <v>75</v>
      </c>
      <c r="AE80" s="1012" t="s">
        <v>669</v>
      </c>
      <c r="AF80" s="1015">
        <f t="shared" si="5"/>
        <v>0</v>
      </c>
      <c r="AG80" s="1">
        <f t="shared" si="6"/>
        <v>1</v>
      </c>
    </row>
    <row r="81" spans="24:33" ht="30.75" customHeight="1" x14ac:dyDescent="0.3">
      <c r="X81" s="1018">
        <f t="shared" si="7"/>
        <v>78</v>
      </c>
      <c r="Y81" s="1019" t="str">
        <f t="shared" si="4"/>
        <v>유퍼스트 위드유</v>
      </c>
      <c r="AD81" s="1">
        <f>IF(AG81="","",COUNTIFS($AG$4:AG81,AG81))</f>
        <v>76</v>
      </c>
      <c r="AE81" s="1012" t="s">
        <v>382</v>
      </c>
      <c r="AF81" s="1015">
        <f t="shared" si="5"/>
        <v>0</v>
      </c>
      <c r="AG81" s="1">
        <f t="shared" si="6"/>
        <v>1</v>
      </c>
    </row>
    <row r="82" spans="24:33" ht="30.75" customHeight="1" x14ac:dyDescent="0.3">
      <c r="X82" s="1018">
        <f t="shared" si="7"/>
        <v>79</v>
      </c>
      <c r="Y82" s="1019" t="str">
        <f t="shared" si="4"/>
        <v>유퍼스트 오산</v>
      </c>
      <c r="AD82" s="1">
        <f>IF(AG82="","",COUNTIFS($AG$4:AG82,AG82))</f>
        <v>77</v>
      </c>
      <c r="AE82" s="1012" t="s">
        <v>241</v>
      </c>
      <c r="AF82" s="1015">
        <f t="shared" si="5"/>
        <v>0</v>
      </c>
      <c r="AG82" s="1">
        <f t="shared" si="6"/>
        <v>1</v>
      </c>
    </row>
    <row r="83" spans="24:33" ht="30.75" customHeight="1" x14ac:dyDescent="0.3">
      <c r="X83" s="1018">
        <f t="shared" si="7"/>
        <v>80</v>
      </c>
      <c r="Y83" s="1019" t="str">
        <f t="shared" si="4"/>
        <v>엑셀금융서비스(주) 평택사업단</v>
      </c>
      <c r="AD83" s="1">
        <f>IF(AG83="","",COUNTIFS($AG$4:AG83,AG83))</f>
        <v>78</v>
      </c>
      <c r="AE83" s="1012" t="s">
        <v>661</v>
      </c>
      <c r="AF83" s="1015">
        <f t="shared" si="5"/>
        <v>0</v>
      </c>
      <c r="AG83" s="1">
        <f t="shared" si="6"/>
        <v>1</v>
      </c>
    </row>
    <row r="84" spans="24:33" ht="30.75" customHeight="1" x14ac:dyDescent="0.3">
      <c r="X84" s="1018">
        <f t="shared" si="7"/>
        <v>81</v>
      </c>
      <c r="Y84" s="1019" t="str">
        <f t="shared" si="4"/>
        <v>엑셀금융서비스(주) 안성사업단</v>
      </c>
      <c r="AD84" s="1">
        <f>IF(AG84="","",COUNTIFS($AG$4:AG84,AG84))</f>
        <v>79</v>
      </c>
      <c r="AE84" s="1012" t="s">
        <v>414</v>
      </c>
      <c r="AF84" s="1015">
        <f t="shared" si="5"/>
        <v>0</v>
      </c>
      <c r="AG84" s="1">
        <f t="shared" si="6"/>
        <v>1</v>
      </c>
    </row>
    <row r="85" spans="24:33" ht="30.75" customHeight="1" x14ac:dyDescent="0.3">
      <c r="X85" s="1018">
        <f t="shared" si="7"/>
        <v>82</v>
      </c>
      <c r="Y85" s="1019" t="str">
        <f t="shared" si="4"/>
        <v>엑셀금융서비스(주) 수원사업단</v>
      </c>
      <c r="AD85" s="1">
        <f>IF(AG85="","",COUNTIFS($AG$4:AG85,AG85))</f>
        <v>80</v>
      </c>
      <c r="AE85" s="1012" t="s">
        <v>646</v>
      </c>
      <c r="AF85" s="1015">
        <f t="shared" si="5"/>
        <v>0</v>
      </c>
      <c r="AG85" s="1">
        <f t="shared" si="6"/>
        <v>1</v>
      </c>
    </row>
    <row r="86" spans="24:33" ht="30.75" customHeight="1" x14ac:dyDescent="0.3">
      <c r="X86" s="1018">
        <f t="shared" si="7"/>
        <v>83</v>
      </c>
      <c r="Y86" s="1019" t="str">
        <f t="shared" si="4"/>
        <v>에스앤에스보험대리점</v>
      </c>
      <c r="AD86" s="1">
        <f>IF(AG86="","",COUNTIFS($AG$4:AG86,AG86))</f>
        <v>81</v>
      </c>
      <c r="AE86" s="1012" t="s">
        <v>652</v>
      </c>
      <c r="AF86" s="1015">
        <f t="shared" si="5"/>
        <v>0</v>
      </c>
      <c r="AG86" s="1">
        <f t="shared" si="6"/>
        <v>1</v>
      </c>
    </row>
    <row r="87" spans="24:33" ht="30.75" customHeight="1" x14ac:dyDescent="0.3">
      <c r="X87" s="1018">
        <f t="shared" si="7"/>
        <v>84</v>
      </c>
      <c r="Y87" s="1019" t="str">
        <f t="shared" si="4"/>
        <v>신금플 한길</v>
      </c>
      <c r="AD87" s="1">
        <f>IF(AG87="","",COUNTIFS($AG$4:AG87,AG87))</f>
        <v>82</v>
      </c>
      <c r="AE87" s="1012" t="s">
        <v>647</v>
      </c>
      <c r="AF87" s="1015">
        <f t="shared" si="5"/>
        <v>0</v>
      </c>
      <c r="AG87" s="1">
        <f t="shared" si="6"/>
        <v>1</v>
      </c>
    </row>
    <row r="88" spans="24:33" ht="30.75" customHeight="1" x14ac:dyDescent="0.3">
      <c r="X88" s="1018">
        <f t="shared" si="7"/>
        <v>85</v>
      </c>
      <c r="Y88" s="1019" t="str">
        <f t="shared" si="4"/>
        <v>미래에셋 히어로</v>
      </c>
      <c r="AD88" s="1">
        <f>IF(AG88="","",COUNTIFS($AG$4:AG88,AG88))</f>
        <v>83</v>
      </c>
      <c r="AE88" s="1012" t="s">
        <v>653</v>
      </c>
      <c r="AF88" s="1015">
        <f t="shared" si="5"/>
        <v>0</v>
      </c>
      <c r="AG88" s="1">
        <f t="shared" si="6"/>
        <v>1</v>
      </c>
    </row>
    <row r="89" spans="24:33" ht="30.75" customHeight="1" x14ac:dyDescent="0.3">
      <c r="X89" s="1018">
        <f t="shared" si="7"/>
        <v>86</v>
      </c>
      <c r="Y89" s="1019" t="str">
        <f t="shared" si="4"/>
        <v>미래에셋 그로우</v>
      </c>
      <c r="AD89" s="1">
        <f>IF(AG89="","",COUNTIFS($AG$4:AG89,AG89))</f>
        <v>84</v>
      </c>
      <c r="AE89" s="1012" t="s">
        <v>674</v>
      </c>
      <c r="AF89" s="1015">
        <f t="shared" si="5"/>
        <v>0</v>
      </c>
      <c r="AG89" s="1">
        <f t="shared" si="6"/>
        <v>1</v>
      </c>
    </row>
    <row r="90" spans="24:33" ht="30.75" customHeight="1" x14ac:dyDescent="0.3">
      <c r="X90" s="1018">
        <f t="shared" si="7"/>
        <v>87</v>
      </c>
      <c r="Y90" s="1019" t="str">
        <f t="shared" si="4"/>
        <v>KGA 글로벌</v>
      </c>
      <c r="AD90" s="1">
        <f>IF(AG90="","",COUNTIFS($AG$4:AG90,AG90))</f>
        <v>85</v>
      </c>
      <c r="AE90" s="1012" t="s">
        <v>675</v>
      </c>
      <c r="AF90" s="1015">
        <f t="shared" si="5"/>
        <v>0</v>
      </c>
      <c r="AG90" s="1">
        <f t="shared" si="6"/>
        <v>1</v>
      </c>
    </row>
    <row r="91" spans="24:33" ht="30.75" customHeight="1" x14ac:dyDescent="0.3">
      <c r="X91" s="1018">
        <f t="shared" si="7"/>
        <v>88</v>
      </c>
      <c r="Y91" s="1019" t="str">
        <f t="shared" si="4"/>
        <v>더베스트 제우스경기법인</v>
      </c>
      <c r="AD91" s="1">
        <f>IF(AG91="","",COUNTIFS($AG$4:AG91,AG91))</f>
        <v>86</v>
      </c>
      <c r="AE91" s="1012" t="s">
        <v>355</v>
      </c>
      <c r="AF91" s="1015">
        <f t="shared" si="5"/>
        <v>0</v>
      </c>
      <c r="AG91" s="1">
        <f t="shared" si="6"/>
        <v>1</v>
      </c>
    </row>
    <row r="92" spans="24:33" ht="30.75" customHeight="1" x14ac:dyDescent="0.3">
      <c r="X92" s="1018">
        <f t="shared" si="7"/>
        <v>89</v>
      </c>
      <c r="Y92" s="1019" t="str">
        <f t="shared" si="4"/>
        <v>더베스트 위드탑</v>
      </c>
      <c r="AD92" s="1">
        <f>IF(AG92="","",COUNTIFS($AG$4:AG92,AG92))</f>
        <v>87</v>
      </c>
      <c r="AE92" s="1012" t="s">
        <v>468</v>
      </c>
      <c r="AF92" s="1015">
        <f t="shared" si="5"/>
        <v>0</v>
      </c>
      <c r="AG92" s="1">
        <f t="shared" si="6"/>
        <v>1</v>
      </c>
    </row>
    <row r="93" spans="24:33" ht="30.75" customHeight="1" x14ac:dyDescent="0.3">
      <c r="X93" s="1018">
        <f t="shared" si="7"/>
        <v>90</v>
      </c>
      <c r="Y93" s="1019" t="str">
        <f t="shared" si="4"/>
        <v>더베스트 아람</v>
      </c>
      <c r="AD93" s="1">
        <f>IF(AG93="","",COUNTIFS($AG$4:AG93,AG93))</f>
        <v>88</v>
      </c>
      <c r="AE93" s="1012" t="s">
        <v>676</v>
      </c>
      <c r="AF93" s="1015">
        <f t="shared" si="5"/>
        <v>0</v>
      </c>
      <c r="AG93" s="1">
        <f t="shared" si="6"/>
        <v>1</v>
      </c>
    </row>
    <row r="94" spans="24:33" ht="30.75" customHeight="1" x14ac:dyDescent="0.3">
      <c r="X94" s="1018">
        <f t="shared" si="7"/>
        <v>91</v>
      </c>
      <c r="Y94" s="1019" t="str">
        <f t="shared" si="4"/>
        <v>더블유에셋 오산</v>
      </c>
      <c r="AD94" s="1">
        <f>IF(AG94="","",COUNTIFS($AG$4:AG94,AG94))</f>
        <v>89</v>
      </c>
      <c r="AE94" s="1012" t="s">
        <v>594</v>
      </c>
      <c r="AF94" s="1015">
        <f t="shared" si="5"/>
        <v>0</v>
      </c>
      <c r="AG94" s="1">
        <f t="shared" si="6"/>
        <v>1</v>
      </c>
    </row>
    <row r="95" spans="24:33" ht="30.75" customHeight="1" x14ac:dyDescent="0.3">
      <c r="X95" s="1018">
        <f t="shared" si="7"/>
        <v>92</v>
      </c>
      <c r="Y95" s="1019" t="str">
        <f t="shared" si="4"/>
        <v>더좋은 화성</v>
      </c>
      <c r="AD95" s="1">
        <f>IF(AG95="","",COUNTIFS($AG$4:AG95,AG95))</f>
        <v>90</v>
      </c>
      <c r="AE95" s="1012" t="s">
        <v>677</v>
      </c>
      <c r="AF95" s="1015">
        <f t="shared" si="5"/>
        <v>0</v>
      </c>
      <c r="AG95" s="1">
        <f t="shared" si="6"/>
        <v>1</v>
      </c>
    </row>
    <row r="96" spans="24:33" ht="30.75" customHeight="1" x14ac:dyDescent="0.3">
      <c r="X96" s="1018">
        <f t="shared" si="7"/>
        <v>93</v>
      </c>
      <c r="Y96" s="1019" t="str">
        <f t="shared" si="4"/>
        <v>카라멜 평택</v>
      </c>
      <c r="AD96" s="1">
        <f>IF(AG96="","",COUNTIFS($AG$4:AG96,AG96))</f>
        <v>91</v>
      </c>
      <c r="AE96" s="1012" t="s">
        <v>678</v>
      </c>
      <c r="AF96" s="1015">
        <f t="shared" si="5"/>
        <v>0</v>
      </c>
      <c r="AG96" s="1">
        <f t="shared" si="6"/>
        <v>1</v>
      </c>
    </row>
    <row r="97" spans="24:33" ht="30.75" customHeight="1" x14ac:dyDescent="0.3">
      <c r="X97" s="1018">
        <f t="shared" si="7"/>
        <v>94</v>
      </c>
      <c r="Y97" s="1019" t="str">
        <f t="shared" si="4"/>
        <v>카라멜 안성</v>
      </c>
      <c r="AD97" s="1">
        <f>IF(AG97="","",COUNTIFS($AG$4:AG97,AG97))</f>
        <v>92</v>
      </c>
      <c r="AE97" s="1012" t="s">
        <v>51</v>
      </c>
      <c r="AF97" s="1015">
        <f t="shared" si="5"/>
        <v>0</v>
      </c>
      <c r="AG97" s="1">
        <f t="shared" si="6"/>
        <v>1</v>
      </c>
    </row>
    <row r="98" spans="24:33" ht="30.75" customHeight="1" x14ac:dyDescent="0.3">
      <c r="X98" s="1018">
        <f t="shared" si="7"/>
        <v>95</v>
      </c>
      <c r="Y98" s="1019" t="str">
        <f t="shared" si="4"/>
        <v>인슈코아 평택</v>
      </c>
      <c r="AD98" s="1">
        <f>IF(AG98="","",COUNTIFS($AG$4:AG98,AG98))</f>
        <v>93</v>
      </c>
      <c r="AE98" s="1012" t="s">
        <v>80</v>
      </c>
      <c r="AF98" s="1015">
        <f t="shared" si="5"/>
        <v>0</v>
      </c>
      <c r="AG98" s="1">
        <f t="shared" si="6"/>
        <v>1</v>
      </c>
    </row>
    <row r="99" spans="24:33" ht="30.75" customHeight="1" x14ac:dyDescent="0.3">
      <c r="X99" s="1018">
        <f t="shared" si="7"/>
        <v>96</v>
      </c>
      <c r="Y99" s="1019" t="str">
        <f t="shared" si="4"/>
        <v>엠금융 코리안인슈</v>
      </c>
      <c r="AD99" s="1">
        <f>IF(AG99="","",COUNTIFS($AG$4:AG99,AG99))</f>
        <v>94</v>
      </c>
      <c r="AE99" s="1012" t="s">
        <v>79</v>
      </c>
      <c r="AF99" s="1015">
        <f t="shared" si="5"/>
        <v>0</v>
      </c>
      <c r="AG99" s="1">
        <f t="shared" si="6"/>
        <v>1</v>
      </c>
    </row>
    <row r="100" spans="24:33" ht="30.75" customHeight="1" x14ac:dyDescent="0.3">
      <c r="X100" s="1018">
        <f t="shared" si="7"/>
        <v>97</v>
      </c>
      <c r="Y100" s="1019" t="str">
        <f t="shared" si="4"/>
        <v>엠금융 인슈프라임</v>
      </c>
      <c r="AD100" s="1">
        <f>IF(AG100="","",COUNTIFS($AG$4:AG100,AG100))</f>
        <v>95</v>
      </c>
      <c r="AE100" s="1012" t="s">
        <v>37</v>
      </c>
      <c r="AF100" s="1015">
        <f t="shared" si="5"/>
        <v>0</v>
      </c>
      <c r="AG100" s="1">
        <f t="shared" si="6"/>
        <v>1</v>
      </c>
    </row>
    <row r="101" spans="24:33" ht="30.75" customHeight="1" x14ac:dyDescent="0.3">
      <c r="X101" s="1018">
        <f t="shared" si="7"/>
        <v>98</v>
      </c>
      <c r="Y101" s="1019" t="str">
        <f t="shared" si="4"/>
        <v>엠금융 보험플러스</v>
      </c>
      <c r="AD101" s="1">
        <f>IF(AG101="","",COUNTIFS($AG$4:AG101,AG101))</f>
        <v>96</v>
      </c>
      <c r="AE101" s="1012" t="s">
        <v>469</v>
      </c>
      <c r="AF101" s="1015">
        <f t="shared" si="5"/>
        <v>0</v>
      </c>
      <c r="AG101" s="1">
        <f t="shared" si="6"/>
        <v>1</v>
      </c>
    </row>
    <row r="102" spans="24:33" ht="30.75" customHeight="1" x14ac:dyDescent="0.3">
      <c r="X102" s="1018">
        <f t="shared" si="7"/>
        <v>99</v>
      </c>
      <c r="Y102" s="1019" t="str">
        <f t="shared" si="4"/>
        <v>에이플 동탄</v>
      </c>
      <c r="AD102" s="1" t="str">
        <f>IF(AG102="","",COUNTIFS($AG$4:AG102,AG102))</f>
        <v/>
      </c>
      <c r="AE102" s="1012" t="s">
        <v>22</v>
      </c>
      <c r="AF102" s="1015">
        <f t="shared" si="5"/>
        <v>1</v>
      </c>
      <c r="AG102" s="1" t="str">
        <f t="shared" si="6"/>
        <v/>
      </c>
    </row>
    <row r="103" spans="24:33" ht="30.75" customHeight="1" x14ac:dyDescent="0.3">
      <c r="X103" s="1018">
        <f t="shared" si="7"/>
        <v>100</v>
      </c>
      <c r="Y103" s="1019" t="str">
        <f t="shared" si="4"/>
        <v>글로벌 베스트평택</v>
      </c>
      <c r="AD103" s="1">
        <f>IF(AG103="","",COUNTIFS($AG$4:AG103,AG103))</f>
        <v>97</v>
      </c>
      <c r="AE103" s="1012" t="s">
        <v>679</v>
      </c>
      <c r="AF103" s="1015">
        <f t="shared" si="5"/>
        <v>0</v>
      </c>
      <c r="AG103" s="1">
        <f t="shared" si="6"/>
        <v>1</v>
      </c>
    </row>
    <row r="104" spans="24:33" ht="30.75" customHeight="1" x14ac:dyDescent="0.3">
      <c r="X104" s="1018">
        <f t="shared" si="7"/>
        <v>101</v>
      </c>
      <c r="Y104" s="1019" t="str">
        <f t="shared" si="4"/>
        <v>글로벌 베스트경인</v>
      </c>
      <c r="AD104" s="1">
        <f>IF(AG104="","",COUNTIFS($AG$4:AG104,AG104))</f>
        <v>98</v>
      </c>
      <c r="AE104" s="1012" t="s">
        <v>680</v>
      </c>
      <c r="AF104" s="1015">
        <f t="shared" si="5"/>
        <v>0</v>
      </c>
      <c r="AG104" s="1">
        <f t="shared" si="6"/>
        <v>1</v>
      </c>
    </row>
    <row r="105" spans="24:33" ht="30.75" customHeight="1" x14ac:dyDescent="0.3">
      <c r="X105" s="1018">
        <f t="shared" si="7"/>
        <v>102</v>
      </c>
      <c r="Y105" s="1019" t="str">
        <f t="shared" si="4"/>
        <v>글로벌 대한라이프평택</v>
      </c>
      <c r="AD105" s="1">
        <f>IF(AG105="","",COUNTIFS($AG$4:AG105,AG105))</f>
        <v>99</v>
      </c>
      <c r="AE105" s="1012" t="s">
        <v>47</v>
      </c>
      <c r="AF105" s="1015">
        <f t="shared" si="5"/>
        <v>0</v>
      </c>
      <c r="AG105" s="1">
        <f t="shared" si="6"/>
        <v>1</v>
      </c>
    </row>
    <row r="106" spans="24:33" ht="30.75" customHeight="1" x14ac:dyDescent="0.3">
      <c r="X106" s="1018">
        <f t="shared" si="7"/>
        <v>103</v>
      </c>
      <c r="Y106" s="1019" t="str">
        <f t="shared" si="4"/>
        <v>삼성화재 브라보</v>
      </c>
      <c r="AD106" s="1">
        <f>IF(AG106="","",COUNTIFS($AG$4:AG106,AG106))</f>
        <v>100</v>
      </c>
      <c r="AE106" s="1012" t="s">
        <v>296</v>
      </c>
      <c r="AF106" s="1015">
        <f t="shared" si="5"/>
        <v>0</v>
      </c>
      <c r="AG106" s="1">
        <f t="shared" si="6"/>
        <v>1</v>
      </c>
    </row>
    <row r="107" spans="24:33" ht="30.75" customHeight="1" x14ac:dyDescent="0.3">
      <c r="X107" s="1018">
        <f t="shared" si="7"/>
        <v>104</v>
      </c>
      <c r="Y107" s="1019" t="e">
        <f t="shared" si="4"/>
        <v>#N/A</v>
      </c>
      <c r="AD107" s="1">
        <f>IF(AG107="","",COUNTIFS($AG$4:AG107,AG107))</f>
        <v>101</v>
      </c>
      <c r="AE107" s="1012" t="s">
        <v>458</v>
      </c>
      <c r="AF107" s="1015">
        <f t="shared" si="5"/>
        <v>0</v>
      </c>
      <c r="AG107" s="1">
        <f t="shared" si="6"/>
        <v>1</v>
      </c>
    </row>
    <row r="108" spans="24:33" ht="30.75" customHeight="1" x14ac:dyDescent="0.3">
      <c r="X108" s="1018">
        <f t="shared" si="7"/>
        <v>105</v>
      </c>
      <c r="Y108" s="1019" t="e">
        <f t="shared" si="4"/>
        <v>#N/A</v>
      </c>
      <c r="AD108" s="1">
        <f>IF(AG108="","",COUNTIFS($AG$4:AG108,AG108))</f>
        <v>102</v>
      </c>
      <c r="AE108" s="1012" t="s">
        <v>462</v>
      </c>
      <c r="AF108" s="1015">
        <f t="shared" si="5"/>
        <v>0</v>
      </c>
      <c r="AG108" s="1">
        <f t="shared" si="6"/>
        <v>1</v>
      </c>
    </row>
    <row r="109" spans="24:33" ht="30.75" customHeight="1" x14ac:dyDescent="0.3">
      <c r="X109" s="1018">
        <f t="shared" si="7"/>
        <v>106</v>
      </c>
      <c r="Y109" s="1019" t="e">
        <f t="shared" si="4"/>
        <v>#N/A</v>
      </c>
      <c r="AD109" s="1">
        <f>IF(AG109="","",COUNTIFS($AG$4:AG109,AG109))</f>
        <v>103</v>
      </c>
      <c r="AE109" s="1012" t="s">
        <v>683</v>
      </c>
      <c r="AF109" s="1015">
        <f t="shared" si="5"/>
        <v>0</v>
      </c>
      <c r="AG109" s="1">
        <f t="shared" si="6"/>
        <v>1</v>
      </c>
    </row>
    <row r="110" spans="24:33" ht="30.75" customHeight="1" x14ac:dyDescent="0.3">
      <c r="X110" s="1018">
        <f t="shared" si="7"/>
        <v>107</v>
      </c>
      <c r="Y110" s="1019" t="e">
        <f t="shared" si="4"/>
        <v>#N/A</v>
      </c>
      <c r="AB110"/>
      <c r="AC110"/>
      <c r="AE110" s="1012"/>
    </row>
    <row r="111" spans="24:33" ht="30.75" customHeight="1" x14ac:dyDescent="0.3">
      <c r="X111"/>
      <c r="Y111"/>
      <c r="AB111"/>
      <c r="AC111"/>
      <c r="AD111"/>
      <c r="AE111"/>
      <c r="AF111"/>
      <c r="AG111"/>
    </row>
    <row r="112" spans="24:33" ht="30.75" customHeight="1" x14ac:dyDescent="0.3">
      <c r="X112"/>
      <c r="Y112"/>
      <c r="AB112"/>
      <c r="AC112"/>
      <c r="AD112"/>
      <c r="AE112"/>
      <c r="AF112"/>
      <c r="AG112"/>
    </row>
    <row r="113" spans="24:33" ht="30.75" customHeight="1" x14ac:dyDescent="0.3">
      <c r="X113"/>
      <c r="Y113"/>
      <c r="AB113"/>
      <c r="AC113"/>
      <c r="AD113"/>
      <c r="AE113"/>
      <c r="AF113"/>
      <c r="AG113"/>
    </row>
    <row r="114" spans="24:33" ht="30.75" customHeight="1" x14ac:dyDescent="0.3">
      <c r="X114"/>
      <c r="Y114"/>
      <c r="AB114"/>
      <c r="AC114"/>
      <c r="AD114"/>
      <c r="AE114"/>
      <c r="AF114"/>
      <c r="AG114"/>
    </row>
    <row r="115" spans="24:33" ht="30.75" customHeight="1" x14ac:dyDescent="0.3">
      <c r="X115"/>
      <c r="Y115"/>
      <c r="AB115"/>
      <c r="AC115"/>
      <c r="AD115"/>
      <c r="AE115"/>
      <c r="AF115"/>
      <c r="AG115"/>
    </row>
    <row r="116" spans="24:33" ht="30.75" customHeight="1" x14ac:dyDescent="0.3">
      <c r="AE116" s="1012"/>
    </row>
    <row r="117" spans="24:33" ht="30.75" customHeight="1" x14ac:dyDescent="0.3">
      <c r="AE117" s="1012"/>
    </row>
    <row r="118" spans="24:33" ht="30.75" customHeight="1" x14ac:dyDescent="0.3">
      <c r="AE118" s="1012"/>
    </row>
    <row r="119" spans="24:33" ht="30.75" customHeight="1" x14ac:dyDescent="0.3">
      <c r="AE119" s="1012"/>
    </row>
    <row r="120" spans="24:33" ht="30.75" customHeight="1" x14ac:dyDescent="0.3">
      <c r="AE120" s="1012"/>
    </row>
    <row r="121" spans="24:33" ht="30.75" customHeight="1" x14ac:dyDescent="0.3">
      <c r="AE121" s="1012"/>
    </row>
    <row r="122" spans="24:33" ht="30.75" customHeight="1" x14ac:dyDescent="0.3">
      <c r="AE122" s="1012"/>
    </row>
    <row r="123" spans="24:33" ht="30.75" customHeight="1" x14ac:dyDescent="0.3">
      <c r="AE123" s="1012"/>
    </row>
    <row r="124" spans="24:33" ht="30.75" customHeight="1" x14ac:dyDescent="0.3">
      <c r="AE124" s="1012"/>
    </row>
    <row r="125" spans="24:33" ht="30.75" customHeight="1" x14ac:dyDescent="0.3">
      <c r="AE125" s="1012"/>
    </row>
    <row r="126" spans="24:33" ht="30.75" customHeight="1" x14ac:dyDescent="0.3">
      <c r="AE126" s="1012"/>
    </row>
    <row r="127" spans="24:33" ht="30.75" customHeight="1" x14ac:dyDescent="0.3">
      <c r="AE127" s="1012"/>
    </row>
    <row r="128" spans="24:33" ht="30.75" customHeight="1" x14ac:dyDescent="0.3">
      <c r="AE128" s="1012"/>
    </row>
    <row r="129" spans="31:31" ht="30.75" customHeight="1" x14ac:dyDescent="0.3">
      <c r="AE129" s="1012"/>
    </row>
    <row r="130" spans="31:31" ht="30.75" customHeight="1" x14ac:dyDescent="0.3">
      <c r="AE130" s="1012"/>
    </row>
    <row r="131" spans="31:31" ht="30.75" customHeight="1" x14ac:dyDescent="0.3">
      <c r="AE131" s="1012"/>
    </row>
    <row r="132" spans="31:31" ht="30.75" customHeight="1" x14ac:dyDescent="0.3">
      <c r="AE132" s="1012"/>
    </row>
    <row r="133" spans="31:31" ht="30.75" customHeight="1" x14ac:dyDescent="0.3">
      <c r="AE133" s="1012"/>
    </row>
    <row r="134" spans="31:31" ht="30.75" customHeight="1" x14ac:dyDescent="0.3">
      <c r="AE134" s="1012"/>
    </row>
    <row r="135" spans="31:31" ht="30.75" customHeight="1" x14ac:dyDescent="0.3">
      <c r="AE135" s="1012"/>
    </row>
    <row r="136" spans="31:31" ht="30.75" customHeight="1" x14ac:dyDescent="0.3">
      <c r="AE136" s="1012"/>
    </row>
    <row r="137" spans="31:31" ht="30.75" customHeight="1" x14ac:dyDescent="0.3">
      <c r="AE137" s="1012"/>
    </row>
    <row r="138" spans="31:31" ht="30.75" customHeight="1" x14ac:dyDescent="0.3">
      <c r="AE138" s="1012"/>
    </row>
    <row r="139" spans="31:31" ht="30.75" customHeight="1" x14ac:dyDescent="0.3">
      <c r="AE139" s="1012"/>
    </row>
    <row r="140" spans="31:31" ht="30.75" customHeight="1" x14ac:dyDescent="0.3">
      <c r="AE140" s="1012"/>
    </row>
    <row r="141" spans="31:31" ht="30.75" customHeight="1" x14ac:dyDescent="0.3">
      <c r="AE141" s="1012"/>
    </row>
    <row r="142" spans="31:31" ht="30.75" customHeight="1" x14ac:dyDescent="0.3">
      <c r="AE142" s="1012"/>
    </row>
    <row r="143" spans="31:31" ht="30.75" customHeight="1" x14ac:dyDescent="0.3">
      <c r="AE143" s="1012"/>
    </row>
    <row r="144" spans="31:31" ht="30.75" customHeight="1" x14ac:dyDescent="0.3">
      <c r="AE144" s="1012"/>
    </row>
    <row r="145" spans="31:31" ht="30.75" customHeight="1" x14ac:dyDescent="0.3">
      <c r="AE145" s="1012"/>
    </row>
    <row r="146" spans="31:31" ht="30.75" customHeight="1" x14ac:dyDescent="0.3">
      <c r="AE146" s="1012"/>
    </row>
    <row r="147" spans="31:31" ht="30.75" customHeight="1" x14ac:dyDescent="0.3">
      <c r="AE147" s="1012"/>
    </row>
    <row r="148" spans="31:31" ht="30.75" customHeight="1" x14ac:dyDescent="0.3">
      <c r="AE148" s="1012"/>
    </row>
    <row r="149" spans="31:31" ht="30.75" customHeight="1" x14ac:dyDescent="0.3">
      <c r="AE149" s="1012"/>
    </row>
    <row r="150" spans="31:31" ht="30.75" customHeight="1" x14ac:dyDescent="0.3">
      <c r="AE150" s="1012"/>
    </row>
    <row r="151" spans="31:31" ht="30.75" customHeight="1" x14ac:dyDescent="0.3">
      <c r="AE151" s="1012"/>
    </row>
    <row r="152" spans="31:31" ht="30.75" customHeight="1" x14ac:dyDescent="0.3">
      <c r="AE152" s="1012"/>
    </row>
    <row r="153" spans="31:31" ht="30.75" customHeight="1" x14ac:dyDescent="0.3">
      <c r="AE153" s="1012"/>
    </row>
    <row r="154" spans="31:31" ht="30.75" customHeight="1" x14ac:dyDescent="0.3">
      <c r="AE154" s="1012"/>
    </row>
    <row r="155" spans="31:31" ht="30.75" customHeight="1" x14ac:dyDescent="0.3">
      <c r="AE155" s="1012"/>
    </row>
    <row r="156" spans="31:31" ht="30.75" customHeight="1" x14ac:dyDescent="0.3">
      <c r="AE156" s="1012"/>
    </row>
    <row r="157" spans="31:31" ht="30.75" customHeight="1" x14ac:dyDescent="0.3">
      <c r="AE157" s="1012"/>
    </row>
    <row r="158" spans="31:31" ht="30.75" customHeight="1" x14ac:dyDescent="0.3">
      <c r="AE158" s="1012"/>
    </row>
    <row r="159" spans="31:31" ht="30.75" customHeight="1" x14ac:dyDescent="0.3">
      <c r="AE159" s="1012"/>
    </row>
    <row r="160" spans="31:31" ht="30.75" customHeight="1" x14ac:dyDescent="0.3">
      <c r="AE160" s="1012"/>
    </row>
    <row r="161" spans="31:31" ht="30.75" customHeight="1" x14ac:dyDescent="0.3">
      <c r="AE161" s="1012"/>
    </row>
    <row r="162" spans="31:31" ht="30.75" customHeight="1" x14ac:dyDescent="0.3">
      <c r="AE162" s="1012"/>
    </row>
    <row r="163" spans="31:31" ht="30.75" customHeight="1" x14ac:dyDescent="0.3">
      <c r="AE163" s="1012"/>
    </row>
    <row r="164" spans="31:31" ht="30.75" customHeight="1" x14ac:dyDescent="0.3">
      <c r="AE164" s="1012"/>
    </row>
    <row r="165" spans="31:31" ht="30.75" customHeight="1" x14ac:dyDescent="0.3">
      <c r="AE165" s="1012"/>
    </row>
    <row r="166" spans="31:31" ht="30.75" customHeight="1" x14ac:dyDescent="0.3">
      <c r="AE166" s="1012"/>
    </row>
    <row r="167" spans="31:31" ht="30.75" customHeight="1" x14ac:dyDescent="0.3">
      <c r="AE167" s="1012"/>
    </row>
    <row r="168" spans="31:31" ht="30.75" customHeight="1" x14ac:dyDescent="0.3">
      <c r="AE168" s="1012"/>
    </row>
    <row r="169" spans="31:31" ht="30.75" customHeight="1" x14ac:dyDescent="0.3">
      <c r="AE169" s="1012"/>
    </row>
    <row r="170" spans="31:31" ht="30.75" customHeight="1" x14ac:dyDescent="0.3">
      <c r="AE170" s="1012"/>
    </row>
    <row r="171" spans="31:31" ht="30.75" customHeight="1" x14ac:dyDescent="0.3">
      <c r="AE171" s="1012"/>
    </row>
    <row r="172" spans="31:31" ht="30.75" customHeight="1" x14ac:dyDescent="0.3">
      <c r="AE172" s="1012"/>
    </row>
    <row r="173" spans="31:31" ht="30.75" customHeight="1" x14ac:dyDescent="0.3">
      <c r="AE173" s="1012"/>
    </row>
    <row r="174" spans="31:31" ht="30.75" customHeight="1" x14ac:dyDescent="0.3">
      <c r="AE174" s="1012"/>
    </row>
    <row r="175" spans="31:31" ht="30.75" customHeight="1" x14ac:dyDescent="0.3">
      <c r="AE175" s="1012"/>
    </row>
    <row r="176" spans="31:31" ht="30.75" customHeight="1" x14ac:dyDescent="0.3">
      <c r="AE176" s="1012"/>
    </row>
    <row r="177" spans="31:31" ht="30.75" customHeight="1" x14ac:dyDescent="0.3">
      <c r="AE177" s="1012"/>
    </row>
    <row r="178" spans="31:31" ht="30.75" customHeight="1" x14ac:dyDescent="0.3">
      <c r="AE178" s="1012"/>
    </row>
    <row r="179" spans="31:31" ht="30.75" customHeight="1" x14ac:dyDescent="0.3">
      <c r="AE179" s="1012"/>
    </row>
    <row r="180" spans="31:31" ht="30.75" customHeight="1" x14ac:dyDescent="0.3">
      <c r="AE180" s="1012"/>
    </row>
    <row r="181" spans="31:31" ht="30.75" customHeight="1" x14ac:dyDescent="0.3">
      <c r="AE181" s="1012"/>
    </row>
    <row r="182" spans="31:31" ht="30.75" customHeight="1" x14ac:dyDescent="0.3">
      <c r="AE182" s="1012"/>
    </row>
    <row r="183" spans="31:31" ht="30.75" customHeight="1" x14ac:dyDescent="0.3">
      <c r="AE183" s="1012"/>
    </row>
    <row r="184" spans="31:31" ht="30.75" customHeight="1" x14ac:dyDescent="0.3">
      <c r="AE184" s="1012"/>
    </row>
    <row r="185" spans="31:31" ht="30.75" customHeight="1" x14ac:dyDescent="0.3">
      <c r="AE185" s="1012"/>
    </row>
    <row r="186" spans="31:31" ht="30.75" customHeight="1" x14ac:dyDescent="0.3">
      <c r="AE186" s="1012"/>
    </row>
    <row r="187" spans="31:31" ht="30.75" customHeight="1" x14ac:dyDescent="0.3">
      <c r="AE187" s="1012"/>
    </row>
    <row r="188" spans="31:31" ht="30.75" customHeight="1" x14ac:dyDescent="0.3">
      <c r="AE188" s="1012"/>
    </row>
    <row r="189" spans="31:31" ht="30.75" customHeight="1" x14ac:dyDescent="0.3">
      <c r="AE189" s="1012"/>
    </row>
  </sheetData>
  <mergeCells count="40">
    <mergeCell ref="C4:F4"/>
    <mergeCell ref="G4:J4"/>
    <mergeCell ref="K4:N4"/>
    <mergeCell ref="O4:R4"/>
    <mergeCell ref="S4:V4"/>
    <mergeCell ref="S9:V9"/>
    <mergeCell ref="B10:B11"/>
    <mergeCell ref="B14:B17"/>
    <mergeCell ref="C17:F17"/>
    <mergeCell ref="G17:J17"/>
    <mergeCell ref="K17:N17"/>
    <mergeCell ref="O17:R17"/>
    <mergeCell ref="S17:V17"/>
    <mergeCell ref="B6:B9"/>
    <mergeCell ref="C9:F9"/>
    <mergeCell ref="G9:J9"/>
    <mergeCell ref="K9:N9"/>
    <mergeCell ref="O9:R9"/>
    <mergeCell ref="B18:B19"/>
    <mergeCell ref="B22:B25"/>
    <mergeCell ref="C25:F25"/>
    <mergeCell ref="G25:J25"/>
    <mergeCell ref="K25:N25"/>
    <mergeCell ref="S25:V25"/>
    <mergeCell ref="B26:B27"/>
    <mergeCell ref="B30:B33"/>
    <mergeCell ref="C33:F33"/>
    <mergeCell ref="G33:J33"/>
    <mergeCell ref="K33:N33"/>
    <mergeCell ref="O33:R33"/>
    <mergeCell ref="S33:V33"/>
    <mergeCell ref="O25:R25"/>
    <mergeCell ref="S41:V41"/>
    <mergeCell ref="B42:B43"/>
    <mergeCell ref="B34:B35"/>
    <mergeCell ref="B38:B41"/>
    <mergeCell ref="C41:F41"/>
    <mergeCell ref="G41:J41"/>
    <mergeCell ref="K41:N41"/>
    <mergeCell ref="O41:R41"/>
  </mergeCells>
  <phoneticPr fontId="2" type="noConversion"/>
  <conditionalFormatting sqref="X73">
    <cfRule type="containsText" dxfId="16" priority="2" operator="containsText" text="더베스트 김효제">
      <formula>NOT(ISERROR(SEARCH("더베스트 김효제",X73)))</formula>
    </cfRule>
    <cfRule type="containsText" dxfId="15" priority="3" operator="containsText" text="트루">
      <formula>NOT(ISERROR(SEARCH("트루",X73)))</formula>
    </cfRule>
    <cfRule type="containsText" dxfId="14" priority="4" operator="containsText" text="현대홈">
      <formula>NOT(ISERROR(SEARCH("현대홈",X73)))</formula>
    </cfRule>
  </conditionalFormatting>
  <conditionalFormatting sqref="AB48:AC70">
    <cfRule type="containsText" dxfId="13" priority="8" operator="containsText" text="더베스트 김효제">
      <formula>NOT(ISERROR(SEARCH("더베스트 김효제",AB48)))</formula>
    </cfRule>
    <cfRule type="containsText" dxfId="12" priority="9" operator="containsText" text="트루">
      <formula>NOT(ISERROR(SEARCH("트루",AB48)))</formula>
    </cfRule>
    <cfRule type="containsText" dxfId="11" priority="10" operator="containsText" text="현대홈">
      <formula>NOT(ISERROR(SEARCH("현대홈",AB48)))</formula>
    </cfRule>
  </conditionalFormatting>
  <conditionalFormatting sqref="AE1:AG45 X1:X111 AB22:AC44 AE46:AE56 AG46:AG111 AF46:AF189">
    <cfRule type="containsText" dxfId="10" priority="15" operator="containsText" text="더베스트 김효제">
      <formula>NOT(ISERROR(SEARCH("더베스트 김효제",X1)))</formula>
    </cfRule>
    <cfRule type="containsText" dxfId="9" priority="16" operator="containsText" text="트루">
      <formula>NOT(ISERROR(SEARCH("트루",X1)))</formula>
    </cfRule>
    <cfRule type="containsText" dxfId="8" priority="17" operator="containsText" text="현대홈">
      <formula>NOT(ISERROR(SEARCH("현대홈",X1)))</formula>
    </cfRule>
  </conditionalFormatting>
  <conditionalFormatting sqref="AF4:AF109">
    <cfRule type="cellIs" dxfId="7" priority="1" operator="equal">
      <formula>0</formula>
    </cfRule>
  </conditionalFormatting>
  <conditionalFormatting sqref="AF46:AF55">
    <cfRule type="containsText" dxfId="6" priority="12" operator="containsText" text="트루">
      <formula>NOT(ISERROR(SEARCH("트루",AF46)))</formula>
    </cfRule>
    <cfRule type="containsText" dxfId="5" priority="13" operator="containsText" text="현대홈">
      <formula>NOT(ISERROR(SEARCH("현대홈",AF46)))</formula>
    </cfRule>
  </conditionalFormatting>
  <conditionalFormatting sqref="AF46:AF109">
    <cfRule type="containsText" dxfId="4" priority="11" operator="containsText" text="더베스트 김효제">
      <formula>NOT(ISERROR(SEARCH("더베스트 김효제",AF46)))</formula>
    </cfRule>
  </conditionalFormatting>
  <conditionalFormatting sqref="AF53:AF109">
    <cfRule type="containsText" dxfId="3" priority="5" operator="containsText" text="더베스트 김효제">
      <formula>NOT(ISERROR(SEARCH("더베스트 김효제",AF53)))</formula>
    </cfRule>
    <cfRule type="containsText" dxfId="2" priority="6" operator="containsText" text="트루">
      <formula>NOT(ISERROR(SEARCH("트루",AF53)))</formula>
    </cfRule>
    <cfRule type="containsText" dxfId="1" priority="7" operator="containsText" text="현대홈">
      <formula>NOT(ISERROR(SEARCH("현대홈",AF53)))</formula>
    </cfRule>
  </conditionalFormatting>
  <conditionalFormatting sqref="AF1:AG1048576 AB19:AE1048576 X1:X1048576 AB1:AC3 AD1:AE18 AB5:AC18">
    <cfRule type="containsText" dxfId="0" priority="14" operator="containsText" text="더베스트 이재명">
      <formula>NOT(ISERROR(SEARCH("더베스트 이재명",X1)))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8FC25-7258-40EE-943A-27D43814117E}">
  <dimension ref="A3:O31"/>
  <sheetViews>
    <sheetView workbookViewId="0">
      <selection activeCell="P29" sqref="P29"/>
    </sheetView>
  </sheetViews>
  <sheetFormatPr defaultRowHeight="16.5" x14ac:dyDescent="0.3"/>
  <cols>
    <col min="1" max="1" width="3.25" customWidth="1"/>
    <col min="2" max="7" width="9.625" customWidth="1"/>
    <col min="8" max="8" width="9.625" style="424" customWidth="1"/>
    <col min="9" max="18" width="9.625" customWidth="1"/>
  </cols>
  <sheetData>
    <row r="3" spans="1:15" x14ac:dyDescent="0.3">
      <c r="C3" s="609" t="s">
        <v>210</v>
      </c>
      <c r="F3" s="609" t="s">
        <v>211</v>
      </c>
      <c r="G3" s="607"/>
      <c r="H3" s="608"/>
      <c r="I3" s="609" t="s">
        <v>212</v>
      </c>
      <c r="J3" s="607"/>
      <c r="K3" s="607"/>
      <c r="L3" s="609" t="s">
        <v>219</v>
      </c>
      <c r="O3" s="609" t="s">
        <v>224</v>
      </c>
    </row>
    <row r="4" spans="1:15" x14ac:dyDescent="0.3">
      <c r="C4" t="s">
        <v>70</v>
      </c>
      <c r="F4" s="607" t="s">
        <v>215</v>
      </c>
      <c r="G4" s="607"/>
      <c r="H4" s="608"/>
      <c r="I4" s="607" t="s">
        <v>22</v>
      </c>
      <c r="J4" s="607"/>
      <c r="K4" s="607"/>
      <c r="L4" t="s">
        <v>222</v>
      </c>
      <c r="O4" t="s">
        <v>186</v>
      </c>
    </row>
    <row r="5" spans="1:15" x14ac:dyDescent="0.3">
      <c r="C5" t="s">
        <v>37</v>
      </c>
      <c r="F5" s="607" t="s">
        <v>216</v>
      </c>
      <c r="G5" s="607"/>
      <c r="H5" s="608"/>
      <c r="I5" s="607" t="s">
        <v>213</v>
      </c>
      <c r="J5" s="607"/>
      <c r="K5" s="607"/>
      <c r="L5" t="s">
        <v>69</v>
      </c>
      <c r="O5" t="s">
        <v>302</v>
      </c>
    </row>
    <row r="6" spans="1:15" x14ac:dyDescent="0.3">
      <c r="C6" t="s">
        <v>220</v>
      </c>
      <c r="F6" s="607" t="s">
        <v>217</v>
      </c>
      <c r="G6" s="607"/>
      <c r="H6" s="608"/>
      <c r="I6" s="607" t="s">
        <v>134</v>
      </c>
      <c r="J6" s="607"/>
      <c r="K6" s="607"/>
      <c r="L6" t="s">
        <v>164</v>
      </c>
      <c r="O6" t="s">
        <v>225</v>
      </c>
    </row>
    <row r="7" spans="1:15" x14ac:dyDescent="0.3">
      <c r="C7" t="s">
        <v>292</v>
      </c>
      <c r="F7" s="607" t="s">
        <v>218</v>
      </c>
      <c r="G7" s="607"/>
      <c r="H7" s="608"/>
      <c r="I7" s="607" t="s">
        <v>47</v>
      </c>
      <c r="J7" s="607"/>
      <c r="K7" s="607"/>
      <c r="L7" t="s">
        <v>223</v>
      </c>
      <c r="O7" t="s">
        <v>226</v>
      </c>
    </row>
    <row r="8" spans="1:15" x14ac:dyDescent="0.3">
      <c r="C8" t="s">
        <v>293</v>
      </c>
      <c r="F8" s="607" t="s">
        <v>241</v>
      </c>
      <c r="G8" s="607"/>
      <c r="H8" s="608"/>
      <c r="I8" s="607" t="s">
        <v>95</v>
      </c>
      <c r="J8" s="607"/>
      <c r="K8" s="607"/>
      <c r="L8" t="s">
        <v>85</v>
      </c>
      <c r="O8" t="s">
        <v>153</v>
      </c>
    </row>
    <row r="9" spans="1:15" x14ac:dyDescent="0.3">
      <c r="C9" t="s">
        <v>238</v>
      </c>
      <c r="F9" s="607" t="s">
        <v>72</v>
      </c>
      <c r="G9" s="607"/>
      <c r="H9" s="608"/>
      <c r="I9" s="607" t="s">
        <v>214</v>
      </c>
      <c r="J9" s="607"/>
      <c r="K9" s="607"/>
      <c r="L9" t="s">
        <v>315</v>
      </c>
      <c r="O9" t="s">
        <v>184</v>
      </c>
    </row>
    <row r="10" spans="1:15" x14ac:dyDescent="0.3">
      <c r="C10" t="s">
        <v>294</v>
      </c>
      <c r="F10" s="607" t="s">
        <v>309</v>
      </c>
      <c r="G10" s="607"/>
      <c r="H10" s="608"/>
      <c r="I10" s="607" t="s">
        <v>312</v>
      </c>
      <c r="J10" s="607"/>
      <c r="K10" s="607"/>
      <c r="L10" t="s">
        <v>316</v>
      </c>
      <c r="O10" t="s">
        <v>301</v>
      </c>
    </row>
    <row r="11" spans="1:15" x14ac:dyDescent="0.3">
      <c r="C11" t="s">
        <v>296</v>
      </c>
      <c r="F11" s="607" t="s">
        <v>84</v>
      </c>
      <c r="G11" s="607"/>
      <c r="H11" s="608"/>
      <c r="I11" s="607"/>
      <c r="J11" s="607"/>
      <c r="K11" s="607"/>
      <c r="L11" t="s">
        <v>317</v>
      </c>
    </row>
    <row r="12" spans="1:15" x14ac:dyDescent="0.3">
      <c r="C12" t="s">
        <v>297</v>
      </c>
      <c r="F12" s="607" t="s">
        <v>295</v>
      </c>
      <c r="G12" s="607"/>
      <c r="H12" s="608"/>
      <c r="I12" s="607"/>
      <c r="J12" s="607"/>
      <c r="K12" s="607"/>
    </row>
    <row r="13" spans="1:15" x14ac:dyDescent="0.3">
      <c r="C13" t="s">
        <v>298</v>
      </c>
      <c r="F13" s="607"/>
      <c r="G13" s="607"/>
      <c r="H13" s="608"/>
      <c r="I13" s="607"/>
      <c r="J13" s="607"/>
      <c r="K13" s="607"/>
    </row>
    <row r="14" spans="1:15" x14ac:dyDescent="0.3">
      <c r="C14" t="s">
        <v>299</v>
      </c>
      <c r="F14" s="607"/>
      <c r="G14" s="607"/>
      <c r="H14" s="608"/>
      <c r="I14" s="607"/>
      <c r="J14" s="607"/>
      <c r="K14" s="607"/>
      <c r="L14" s="609" t="s">
        <v>313</v>
      </c>
      <c r="O14" s="609" t="s">
        <v>320</v>
      </c>
    </row>
    <row r="15" spans="1:15" x14ac:dyDescent="0.3">
      <c r="A15" s="442"/>
      <c r="C15" t="s">
        <v>300</v>
      </c>
      <c r="F15" s="607"/>
      <c r="G15" s="607"/>
      <c r="H15" s="608"/>
      <c r="I15" s="607"/>
      <c r="J15" s="607"/>
      <c r="K15" s="607"/>
      <c r="L15" t="s">
        <v>171</v>
      </c>
      <c r="O15" t="s">
        <v>321</v>
      </c>
    </row>
    <row r="16" spans="1:15" x14ac:dyDescent="0.3">
      <c r="C16" t="s">
        <v>50</v>
      </c>
      <c r="F16" s="607"/>
      <c r="G16" s="607"/>
      <c r="H16" s="608"/>
      <c r="I16" s="607"/>
      <c r="J16" s="607"/>
      <c r="K16" s="607"/>
      <c r="L16" t="s">
        <v>46</v>
      </c>
      <c r="O16" t="s">
        <v>322</v>
      </c>
    </row>
    <row r="17" spans="2:15" x14ac:dyDescent="0.3">
      <c r="C17" t="s">
        <v>303</v>
      </c>
      <c r="F17" s="607"/>
      <c r="G17" s="607"/>
      <c r="H17" s="608"/>
      <c r="I17" s="607"/>
      <c r="J17" s="607"/>
      <c r="K17" s="607"/>
      <c r="L17" t="s">
        <v>314</v>
      </c>
      <c r="O17" t="s">
        <v>135</v>
      </c>
    </row>
    <row r="18" spans="2:15" x14ac:dyDescent="0.3">
      <c r="C18" t="s">
        <v>124</v>
      </c>
      <c r="F18" s="607"/>
      <c r="G18" s="607"/>
      <c r="H18" s="608"/>
      <c r="I18" s="607"/>
      <c r="J18" s="607"/>
      <c r="K18" s="607"/>
    </row>
    <row r="19" spans="2:15" x14ac:dyDescent="0.3">
      <c r="C19" t="s">
        <v>258</v>
      </c>
      <c r="F19" s="607"/>
      <c r="G19" s="607"/>
      <c r="H19" s="608"/>
      <c r="I19" s="607"/>
      <c r="J19" s="607"/>
      <c r="K19" s="607"/>
      <c r="O19" s="609" t="s">
        <v>323</v>
      </c>
    </row>
    <row r="20" spans="2:15" x14ac:dyDescent="0.3">
      <c r="C20" t="s">
        <v>41</v>
      </c>
      <c r="F20" s="607"/>
      <c r="G20" s="607"/>
      <c r="H20" s="608"/>
      <c r="I20" s="607"/>
      <c r="J20" s="607"/>
      <c r="K20" s="607"/>
      <c r="L20" s="609" t="s">
        <v>318</v>
      </c>
      <c r="O20" t="s">
        <v>324</v>
      </c>
    </row>
    <row r="21" spans="2:15" x14ac:dyDescent="0.3">
      <c r="C21" t="s">
        <v>304</v>
      </c>
      <c r="L21" t="s">
        <v>268</v>
      </c>
    </row>
    <row r="22" spans="2:15" x14ac:dyDescent="0.3">
      <c r="C22" t="s">
        <v>305</v>
      </c>
      <c r="L22" t="s">
        <v>51</v>
      </c>
    </row>
    <row r="23" spans="2:15" x14ac:dyDescent="0.3">
      <c r="B23" s="443"/>
      <c r="C23" t="s">
        <v>55</v>
      </c>
      <c r="L23" t="s">
        <v>319</v>
      </c>
    </row>
    <row r="24" spans="2:15" x14ac:dyDescent="0.3">
      <c r="C24" t="s">
        <v>53</v>
      </c>
      <c r="L24" t="s">
        <v>136</v>
      </c>
    </row>
    <row r="25" spans="2:15" x14ac:dyDescent="0.3">
      <c r="B25" s="442"/>
      <c r="C25" t="s">
        <v>306</v>
      </c>
      <c r="I25" s="443"/>
    </row>
    <row r="26" spans="2:15" x14ac:dyDescent="0.3">
      <c r="C26" t="s">
        <v>307</v>
      </c>
    </row>
    <row r="27" spans="2:15" x14ac:dyDescent="0.3">
      <c r="C27" t="s">
        <v>308</v>
      </c>
      <c r="H27" s="443" t="s">
        <v>232</v>
      </c>
      <c r="I27" t="s">
        <v>233</v>
      </c>
    </row>
    <row r="28" spans="2:15" x14ac:dyDescent="0.3">
      <c r="C28" t="s">
        <v>169</v>
      </c>
      <c r="H28"/>
      <c r="I28" t="s">
        <v>234</v>
      </c>
    </row>
    <row r="29" spans="2:15" x14ac:dyDescent="0.3">
      <c r="C29" t="s">
        <v>284</v>
      </c>
      <c r="H29" s="442"/>
      <c r="I29" t="s">
        <v>235</v>
      </c>
    </row>
    <row r="30" spans="2:15" x14ac:dyDescent="0.3">
      <c r="C30" t="s">
        <v>310</v>
      </c>
    </row>
    <row r="31" spans="2:15" x14ac:dyDescent="0.3">
      <c r="C31" t="s">
        <v>311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ADDC-9034-48FB-A1BF-42CEB18B5861}">
  <dimension ref="B1:O36"/>
  <sheetViews>
    <sheetView showGridLines="0" zoomScale="55" zoomScaleNormal="55" workbookViewId="0">
      <selection activeCell="AA22" sqref="AA22"/>
    </sheetView>
  </sheetViews>
  <sheetFormatPr defaultRowHeight="22.5" customHeight="1" x14ac:dyDescent="0.3"/>
  <sheetData>
    <row r="1" spans="2:15" ht="22.5" customHeight="1" x14ac:dyDescent="0.3">
      <c r="B1" s="610" t="s">
        <v>328</v>
      </c>
      <c r="J1" s="610" t="s">
        <v>329</v>
      </c>
    </row>
    <row r="3" spans="2:15" ht="22.5" customHeight="1" x14ac:dyDescent="0.3">
      <c r="D3" s="610" t="s">
        <v>327</v>
      </c>
    </row>
    <row r="9" spans="2:15" ht="22.5" customHeight="1" x14ac:dyDescent="0.3">
      <c r="B9" s="610" t="s">
        <v>224</v>
      </c>
      <c r="F9" s="610" t="s">
        <v>323</v>
      </c>
      <c r="O9" s="610" t="s">
        <v>330</v>
      </c>
    </row>
    <row r="13" spans="2:15" ht="22.5" customHeight="1" x14ac:dyDescent="0.3">
      <c r="G13" s="610" t="s">
        <v>325</v>
      </c>
    </row>
    <row r="18" spans="5:14" ht="22.5" customHeight="1" x14ac:dyDescent="0.3">
      <c r="E18" s="610" t="s">
        <v>326</v>
      </c>
      <c r="I18" s="610" t="s">
        <v>219</v>
      </c>
    </row>
    <row r="21" spans="5:14" ht="22.5" customHeight="1" x14ac:dyDescent="0.3">
      <c r="K21" s="610" t="s">
        <v>212</v>
      </c>
    </row>
    <row r="27" spans="5:14" ht="22.5" customHeight="1" x14ac:dyDescent="0.3">
      <c r="K27" s="610" t="s">
        <v>211</v>
      </c>
    </row>
    <row r="32" spans="5:14" ht="22.5" customHeight="1" x14ac:dyDescent="0.3">
      <c r="H32" s="610" t="s">
        <v>331</v>
      </c>
      <c r="N32" s="610" t="s">
        <v>281</v>
      </c>
    </row>
    <row r="36" spans="10:10" ht="22.5" customHeight="1" x14ac:dyDescent="0.3">
      <c r="J36" s="610" t="s">
        <v>210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3</vt:i4>
      </vt:variant>
    </vt:vector>
  </HeadingPairs>
  <TitlesOfParts>
    <vt:vector size="19" baseType="lpstr">
      <vt:lpstr>25.12월</vt:lpstr>
      <vt:lpstr>26.01월</vt:lpstr>
      <vt:lpstr>26.02월</vt:lpstr>
      <vt:lpstr>26.03월</vt:lpstr>
      <vt:lpstr>26.04월</vt:lpstr>
      <vt:lpstr>26.05월 </vt:lpstr>
      <vt:lpstr>5월(원안)</vt:lpstr>
      <vt:lpstr>26.06월</vt:lpstr>
      <vt:lpstr>26.07월</vt:lpstr>
      <vt:lpstr>26.08월</vt:lpstr>
      <vt:lpstr>26.09월</vt:lpstr>
      <vt:lpstr>26.10월</vt:lpstr>
      <vt:lpstr>26.11월</vt:lpstr>
      <vt:lpstr>26.12월</vt:lpstr>
      <vt:lpstr>지역별 주요대리점</vt:lpstr>
      <vt:lpstr>지도</vt:lpstr>
      <vt:lpstr>'26.04월'!Print_Area</vt:lpstr>
      <vt:lpstr>'26.06월'!Print_Area</vt:lpstr>
      <vt:lpstr>'26.08월'!Print_Area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JAEYUN Lee</dc:creator>
  <cp:lastModifiedBy>JAEYUN Lee</cp:lastModifiedBy>
  <cp:lastPrinted>2026-07-31T04:56:49Z</cp:lastPrinted>
  <dcterms:created xsi:type="dcterms:W3CDTF">2025-12-07T05:24:07Z</dcterms:created>
  <dcterms:modified xsi:type="dcterms:W3CDTF">2026-10-30T06:49:13Z</dcterms:modified>
</cp:coreProperties>
</file>